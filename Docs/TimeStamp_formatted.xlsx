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lfre\OneDrive\Desktop\"/>
    </mc:Choice>
  </mc:AlternateContent>
  <xr:revisionPtr revIDLastSave="0" documentId="13_ncr:1_{FBAF74A8-5BC1-472C-AC22-A8E4203EBEF4}" xr6:coauthVersionLast="47" xr6:coauthVersionMax="47" xr10:uidLastSave="{00000000-0000-0000-0000-000000000000}"/>
  <bookViews>
    <workbookView xWindow="-120" yWindow="-120" windowWidth="518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9" i="1" l="1"/>
  <c r="H88" i="1"/>
  <c r="H87" i="1"/>
  <c r="H86" i="1"/>
  <c r="H85" i="1"/>
  <c r="H84" i="1"/>
  <c r="H83" i="1"/>
  <c r="I83" i="1" s="1"/>
  <c r="I84" i="1" s="1"/>
  <c r="I85" i="1" s="1"/>
  <c r="I86" i="1" s="1"/>
  <c r="I87" i="1" s="1"/>
  <c r="I88" i="1" s="1"/>
  <c r="I89" i="1" s="1"/>
  <c r="H82" i="1"/>
  <c r="H81" i="1"/>
  <c r="H80" i="1"/>
  <c r="H79" i="1"/>
  <c r="H78" i="1"/>
  <c r="H77" i="1"/>
  <c r="H76" i="1"/>
  <c r="I76" i="1" s="1"/>
  <c r="I77" i="1" s="1"/>
  <c r="I78" i="1" s="1"/>
  <c r="I79" i="1" s="1"/>
  <c r="I80" i="1" s="1"/>
  <c r="I81" i="1" s="1"/>
  <c r="I82" i="1" s="1"/>
  <c r="H75" i="1"/>
  <c r="H74" i="1"/>
  <c r="H73" i="1"/>
  <c r="H72" i="1"/>
  <c r="H71" i="1"/>
  <c r="H70" i="1"/>
  <c r="H69" i="1"/>
  <c r="I69" i="1" s="1"/>
  <c r="I70" i="1" s="1"/>
  <c r="I71" i="1" s="1"/>
  <c r="I72" i="1" s="1"/>
  <c r="I73" i="1" s="1"/>
  <c r="I74" i="1" s="1"/>
  <c r="I75" i="1" s="1"/>
  <c r="H68" i="1"/>
  <c r="H67" i="1"/>
  <c r="H66" i="1"/>
  <c r="H65" i="1"/>
  <c r="H64" i="1"/>
  <c r="H63" i="1"/>
  <c r="H62" i="1"/>
  <c r="I62" i="1" s="1"/>
  <c r="I63" i="1" s="1"/>
  <c r="I64" i="1" s="1"/>
  <c r="I65" i="1" s="1"/>
  <c r="I66" i="1" s="1"/>
  <c r="I67" i="1" s="1"/>
  <c r="I68" i="1" s="1"/>
  <c r="H61" i="1"/>
  <c r="H60" i="1"/>
  <c r="H59" i="1"/>
  <c r="H58" i="1"/>
  <c r="H57" i="1"/>
  <c r="H56" i="1"/>
  <c r="H55" i="1"/>
  <c r="I55" i="1" s="1"/>
  <c r="I56" i="1" s="1"/>
  <c r="I57" i="1" s="1"/>
  <c r="I58" i="1" s="1"/>
  <c r="I59" i="1" s="1"/>
  <c r="I60" i="1" s="1"/>
  <c r="I61" i="1" s="1"/>
  <c r="H54" i="1"/>
  <c r="H53" i="1"/>
  <c r="H52" i="1"/>
  <c r="H51" i="1"/>
  <c r="H50" i="1"/>
  <c r="H49" i="1"/>
  <c r="H48" i="1"/>
  <c r="I48" i="1" s="1"/>
  <c r="I49" i="1" s="1"/>
  <c r="I50" i="1" s="1"/>
  <c r="I51" i="1" s="1"/>
  <c r="I52" i="1" s="1"/>
  <c r="I53" i="1" s="1"/>
  <c r="I54" i="1" s="1"/>
  <c r="H47" i="1"/>
  <c r="H46" i="1"/>
  <c r="H45" i="1"/>
  <c r="H44" i="1"/>
  <c r="H43" i="1"/>
  <c r="H42" i="1"/>
  <c r="H41" i="1"/>
  <c r="I41" i="1" s="1"/>
  <c r="I42" i="1" s="1"/>
  <c r="I43" i="1" s="1"/>
  <c r="I44" i="1" s="1"/>
  <c r="I45" i="1" s="1"/>
  <c r="I46" i="1" s="1"/>
  <c r="I47" i="1" s="1"/>
  <c r="H40" i="1"/>
  <c r="H39" i="1"/>
  <c r="H38" i="1"/>
  <c r="H37" i="1"/>
  <c r="H36" i="1"/>
  <c r="H35" i="1"/>
  <c r="H34" i="1"/>
  <c r="I34" i="1" s="1"/>
  <c r="I35" i="1" s="1"/>
  <c r="I36" i="1" s="1"/>
  <c r="I37" i="1" s="1"/>
  <c r="I38" i="1" s="1"/>
  <c r="I39" i="1" s="1"/>
  <c r="I40" i="1" s="1"/>
  <c r="H33" i="1"/>
  <c r="H32" i="1"/>
  <c r="H31" i="1"/>
  <c r="H30" i="1"/>
  <c r="H29" i="1"/>
  <c r="H28" i="1"/>
  <c r="H27" i="1"/>
  <c r="I27" i="1" s="1"/>
  <c r="H26" i="1"/>
  <c r="H25" i="1"/>
  <c r="H24" i="1"/>
  <c r="H23" i="1"/>
  <c r="H22" i="1"/>
  <c r="H21" i="1"/>
  <c r="H20" i="1"/>
  <c r="I20" i="1" s="1"/>
  <c r="I21" i="1" s="1"/>
  <c r="H19" i="1"/>
  <c r="H18" i="1"/>
  <c r="H17" i="1"/>
  <c r="H16" i="1"/>
  <c r="H15" i="1"/>
  <c r="H14" i="1"/>
  <c r="H13" i="1"/>
  <c r="I13" i="1" s="1"/>
  <c r="I14" i="1" s="1"/>
  <c r="I15" i="1" s="1"/>
  <c r="I16" i="1" s="1"/>
  <c r="I17" i="1" s="1"/>
  <c r="I18" i="1" s="1"/>
  <c r="I19" i="1" s="1"/>
  <c r="H12" i="1"/>
  <c r="H11" i="1"/>
  <c r="H10" i="1"/>
  <c r="H9" i="1"/>
  <c r="H8" i="1"/>
  <c r="H7" i="1"/>
  <c r="H6" i="1"/>
  <c r="I28" i="1" l="1"/>
  <c r="I29" i="1" s="1"/>
  <c r="I30" i="1" s="1"/>
  <c r="I31" i="1" s="1"/>
  <c r="I32" i="1" s="1"/>
  <c r="I33" i="1" s="1"/>
  <c r="I22" i="1"/>
  <c r="I23" i="1" s="1"/>
  <c r="I24" i="1" s="1"/>
  <c r="I25" i="1" s="1"/>
  <c r="I26" i="1" s="1"/>
  <c r="K6" i="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I6" i="1"/>
  <c r="I7" i="1" s="1"/>
  <c r="I8" i="1" s="1"/>
  <c r="I9" i="1" s="1"/>
  <c r="I10" i="1" s="1"/>
  <c r="I11" i="1" s="1"/>
  <c r="I12" i="1" s="1"/>
</calcChain>
</file>

<file path=xl/sharedStrings.xml><?xml version="1.0" encoding="utf-8"?>
<sst xmlns="http://schemas.openxmlformats.org/spreadsheetml/2006/main" count="116" uniqueCount="113">
  <si>
    <t>Tidsrapport</t>
  </si>
  <si>
    <t>Namn: Alfred</t>
  </si>
  <si>
    <t>Fyll i dina timmar i den cell på den dag då du jobbat. Du får endast föra in timmar för dig själv. Du är personligt ansvarig för samtliga timmar som du för in. Uppdatera det här ofta och inte i efterhand. Efterkonstruktioner är inte bra.</t>
  </si>
  <si>
    <t>Du rapporterar själv in de timmar som kursen kräver för föreläsningar, seminarier etc.</t>
  </si>
  <si>
    <t>Kommentarer: I kommentarsfältet förväntas du redogöra för ditt dagsarbete i detaljnivå som tydligt visar det du gjort.</t>
  </si>
  <si>
    <t>V.</t>
  </si>
  <si>
    <t>Datum</t>
  </si>
  <si>
    <t>Tid start</t>
  </si>
  <si>
    <t>Tid slut</t>
  </si>
  <si>
    <t>Rast</t>
  </si>
  <si>
    <t>Vad arbetade jag på idag?</t>
  </si>
  <si>
    <t>Vad har hindrat mitt arbete?</t>
  </si>
  <si>
    <t>Timme per dag</t>
  </si>
  <si>
    <t>Totalt per vecka</t>
  </si>
  <si>
    <t>Projektets totala timmar</t>
  </si>
  <si>
    <t>mars 23 mån</t>
  </si>
  <si>
    <t>Intro till Spelmekanik, första föreläsning och först workshop.</t>
  </si>
  <si>
    <t>mars 24 tis</t>
  </si>
  <si>
    <t>Workshop 2</t>
  </si>
  <si>
    <t>mars 25 ons</t>
  </si>
  <si>
    <t>Ljudläggning föreläsningar</t>
  </si>
  <si>
    <t>mars 26 tors</t>
  </si>
  <si>
    <t>mars 27 fre</t>
  </si>
  <si>
    <t>mars 28 lör</t>
  </si>
  <si>
    <t>mars 29 sön</t>
  </si>
  <si>
    <t>mars 30 mån</t>
  </si>
  <si>
    <t>mars 31 tis</t>
  </si>
  <si>
    <t>Ljudläggning 1:a arbetet</t>
  </si>
  <si>
    <t>april 1 ons</t>
  </si>
  <si>
    <t>Ljudläggning 2:a arbetet</t>
  </si>
  <si>
    <t>april 2 tors</t>
  </si>
  <si>
    <t>Redovisning samt första grupp träff för projektet</t>
  </si>
  <si>
    <t>april 3 fre</t>
  </si>
  <si>
    <t>april 4 lör</t>
  </si>
  <si>
    <t>april 5 sön</t>
  </si>
  <si>
    <t>april 6 mån</t>
  </si>
  <si>
    <t>april 7 tis</t>
  </si>
  <si>
    <t>april 8 ons</t>
  </si>
  <si>
    <t>april 9 tors</t>
  </si>
  <si>
    <t>april 10 fre</t>
  </si>
  <si>
    <t>april 11 lör</t>
  </si>
  <si>
    <t>april 12 sön</t>
  </si>
  <si>
    <t>april 13 mån</t>
  </si>
  <si>
    <t>april 14 tis</t>
  </si>
  <si>
    <t>april 15 ons</t>
  </si>
  <si>
    <t>april 16 tors</t>
  </si>
  <si>
    <t>april 17 fre</t>
  </si>
  <si>
    <t>april 18 lör</t>
  </si>
  <si>
    <t>april 19 sön</t>
  </si>
  <si>
    <t>april 20 mån</t>
  </si>
  <si>
    <t>april 21 tis</t>
  </si>
  <si>
    <t>april 22 ons</t>
  </si>
  <si>
    <t>april 23 tors</t>
  </si>
  <si>
    <t>april 24 fre</t>
  </si>
  <si>
    <t>april 25 lör</t>
  </si>
  <si>
    <t>april 26 sön</t>
  </si>
  <si>
    <t>april 27 mån</t>
  </si>
  <si>
    <t>april 28 tis</t>
  </si>
  <si>
    <t>april 29 ons</t>
  </si>
  <si>
    <t>april 30 tors</t>
  </si>
  <si>
    <t>maj 1 fre</t>
  </si>
  <si>
    <t>maj 2 lör</t>
  </si>
  <si>
    <t>maj 3 sön</t>
  </si>
  <si>
    <t>maj 4 mån</t>
  </si>
  <si>
    <t>maj 5 tis</t>
  </si>
  <si>
    <t>maj 6 ons</t>
  </si>
  <si>
    <t>maj 7 tors</t>
  </si>
  <si>
    <t>maj 8 fre</t>
  </si>
  <si>
    <t>maj 9 lör</t>
  </si>
  <si>
    <t>maj 10 sön</t>
  </si>
  <si>
    <t>maj 11 mån</t>
  </si>
  <si>
    <t>maj 12 tis</t>
  </si>
  <si>
    <t>maj 13 ons</t>
  </si>
  <si>
    <t>maj 14 tors</t>
  </si>
  <si>
    <t>maj 15 fre</t>
  </si>
  <si>
    <t>maj 16 lör</t>
  </si>
  <si>
    <t>maj 17 sön</t>
  </si>
  <si>
    <t>maj 18 mån</t>
  </si>
  <si>
    <t>maj 19 tis</t>
  </si>
  <si>
    <t>maj 20 ons</t>
  </si>
  <si>
    <t>maj 21 tors</t>
  </si>
  <si>
    <t>maj 22 fre</t>
  </si>
  <si>
    <t>maj 23 lör</t>
  </si>
  <si>
    <t>maj 24 sön</t>
  </si>
  <si>
    <t>maj 25 mån</t>
  </si>
  <si>
    <t>maj 26 tis</t>
  </si>
  <si>
    <t>maj 27 ons</t>
  </si>
  <si>
    <t>maj 28 tors</t>
  </si>
  <si>
    <t>maj 29 fre</t>
  </si>
  <si>
    <t>maj 30 lör</t>
  </si>
  <si>
    <t>maj 31 sön</t>
  </si>
  <si>
    <t>juni 1 mån</t>
  </si>
  <si>
    <t>juni 2 tis</t>
  </si>
  <si>
    <t>juni 3 ons</t>
  </si>
  <si>
    <t>juni 4 tors</t>
  </si>
  <si>
    <t>juni 5 fre</t>
  </si>
  <si>
    <t>juni 6 lör</t>
  </si>
  <si>
    <t>juni 7 sön</t>
  </si>
  <si>
    <t>juni 8 mån</t>
  </si>
  <si>
    <t>juni 9 tis</t>
  </si>
  <si>
    <t>juni 10 ons</t>
  </si>
  <si>
    <t>juni 11 tors</t>
  </si>
  <si>
    <t>juni 12 fre</t>
  </si>
  <si>
    <t>juni 13 lör</t>
  </si>
  <si>
    <t>juni 14 sön</t>
  </si>
  <si>
    <t xml:space="preserve">Portfolio föreläsning samt gruppträff för att utveckla grund ideen för spelet. </t>
  </si>
  <si>
    <t>Arbetade med att starta upp Github, Trello, Miro och drive, och arbetat med GDD.</t>
  </si>
  <si>
    <t>Gruppmöte, uppdatering kring funktionerna kring Verktygen vi använder, samt klargör första deadline för ADD, Moodboard och Första whiteroom.</t>
  </si>
  <si>
    <t>Arbetat med Portfolio html. Och gjort whitebox colosseum</t>
  </si>
  <si>
    <t>Whitebox Castle Town</t>
  </si>
  <si>
    <t>Pitch och Github Merge</t>
  </si>
  <si>
    <t>Presentation och feedback review</t>
  </si>
  <si>
    <t>Individuell arbete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</si>
</sst>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hh:mm;@"/>
    <numFmt numFmtId="166" formatCode="[h]:mm"/>
  </numFmts>
  <fonts count="10" x14ac:knownFonts="1">
    <font>
      <sz val="11"/>
      <color theme="1"/>
      <name val="Aptos Narrow"/>
    </font>
    <font>
      <sz val="10"/>
      <color theme="1"/>
      <name val="Arial"/>
    </font>
    <font>
      <b/>
      <sz val="18"/>
      <color rgb="FFFFFFFF"/>
      <name val="Arial"/>
    </font>
    <font>
      <b/>
      <sz val="12"/>
      <color theme="1"/>
      <name val="Arial"/>
    </font>
    <font>
      <b/>
      <sz val="11"/>
      <color theme="1"/>
      <name val="Arial"/>
    </font>
    <font>
      <b/>
      <sz val="10"/>
      <color theme="1"/>
      <name val="Arial"/>
    </font>
    <font>
      <sz val="9"/>
      <color theme="1"/>
      <name val="Arial"/>
    </font>
    <font>
      <sz val="9"/>
      <color theme="1"/>
      <name val="Calibri"/>
    </font>
    <font>
      <sz val="11"/>
      <color theme="1"/>
      <name val="Calibri"/>
    </font>
    <font>
      <sz val="10"/>
      <color theme="1"/>
      <name val="Arial"/>
      <family val="2"/>
    </font>
  </fonts>
  <fills count="11">
    <fill>
      <patternFill patternType="none"/>
    </fill>
    <fill>
      <patternFill patternType="gray125"/>
    </fill>
    <fill>
      <patternFill patternType="solid">
        <fgColor rgb="FFCC0000"/>
      </patternFill>
    </fill>
    <fill>
      <patternFill patternType="solid">
        <fgColor rgb="FF76A5AF"/>
      </patternFill>
    </fill>
    <fill>
      <patternFill patternType="solid">
        <fgColor rgb="FFF3F3F3"/>
      </patternFill>
    </fill>
    <fill>
      <patternFill patternType="solid">
        <fgColor rgb="FFFFD966"/>
      </patternFill>
    </fill>
    <fill>
      <patternFill patternType="solid">
        <fgColor rgb="FFE06666"/>
      </patternFill>
    </fill>
    <fill>
      <patternFill patternType="solid">
        <fgColor rgb="FFFFF7D6"/>
      </patternFill>
    </fill>
    <fill>
      <patternFill patternType="solid">
        <fgColor rgb="FFE9F6EF"/>
      </patternFill>
    </fill>
    <fill>
      <patternFill patternType="solid">
        <fgColor rgb="FFF0E3AA"/>
      </patternFill>
    </fill>
    <fill>
      <patternFill patternType="solid">
        <fgColor rgb="FFD9EFE2"/>
      </patternFill>
    </fill>
  </fills>
  <borders count="4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000000"/>
      </right>
      <top/>
      <bottom/>
      <diagonal/>
    </border>
    <border>
      <left style="medium">
        <color rgb="FFCCCCCC"/>
      </left>
      <right style="medium">
        <color rgb="FF000000"/>
      </right>
      <top/>
      <bottom style="medium">
        <color rgb="FF0000FF"/>
      </bottom>
      <diagonal/>
    </border>
    <border>
      <left style="medium">
        <color rgb="FFCCCCCC"/>
      </left>
      <right style="thick">
        <color rgb="FF000000"/>
      </right>
      <top style="medium">
        <color rgb="FFCCCCCC"/>
      </top>
      <bottom style="medium">
        <color rgb="FFCCCCCC"/>
      </bottom>
      <diagonal/>
    </border>
    <border>
      <left style="medium">
        <color rgb="FFCCCCCC"/>
      </left>
      <right style="mediumDashed">
        <color rgb="FF000000"/>
      </right>
      <top style="medium">
        <color rgb="FFCCCCCC"/>
      </top>
      <bottom style="medium">
        <color rgb="FFCCCCCC"/>
      </bottom>
      <diagonal/>
    </border>
    <border>
      <left style="medium">
        <color rgb="FFCCCCCC"/>
      </left>
      <right style="medium">
        <color rgb="FFCCCCCC"/>
      </right>
      <top/>
      <bottom style="medium">
        <color rgb="FFCCCCCC"/>
      </bottom>
      <diagonal/>
    </border>
    <border>
      <left style="medium">
        <color rgb="FFCCCCCC"/>
      </left>
      <right style="thick">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Dashed">
        <color rgb="FF000000"/>
      </right>
      <top style="medium">
        <color rgb="FFCCCCCC"/>
      </top>
      <bottom style="medium">
        <color rgb="FF000000"/>
      </bottom>
      <diagonal/>
    </border>
    <border>
      <left style="medium">
        <color rgb="FFCCCCCC"/>
      </left>
      <right style="medium">
        <color rgb="FF000000"/>
      </right>
      <top style="thick">
        <color rgb="FF000000"/>
      </top>
      <bottom/>
      <diagonal/>
    </border>
    <border>
      <left style="medium">
        <color rgb="FFCCCCCC"/>
      </left>
      <right style="medium">
        <color rgb="FF000000"/>
      </right>
      <top style="medium">
        <color rgb="FF0000FF"/>
      </top>
      <bottom/>
      <diagonal/>
    </border>
    <border>
      <left style="medium">
        <color rgb="FFCCCCCC"/>
      </left>
      <right/>
      <top style="medium">
        <color rgb="FFCCCCCC"/>
      </top>
      <bottom style="medium">
        <color rgb="FF000000"/>
      </bottom>
      <diagonal/>
    </border>
    <border>
      <left style="medium">
        <color indexed="64"/>
      </left>
      <right style="medium">
        <color rgb="FFCCCCCC"/>
      </right>
      <top style="medium">
        <color indexed="64"/>
      </top>
      <bottom style="medium">
        <color rgb="FFCCCCCC"/>
      </bottom>
      <diagonal/>
    </border>
    <border>
      <left style="medium">
        <color rgb="FFCCCCCC"/>
      </left>
      <right style="medium">
        <color indexed="64"/>
      </right>
      <top style="medium">
        <color indexed="64"/>
      </top>
      <bottom style="medium">
        <color rgb="FFCCCCCC"/>
      </bottom>
      <diagonal/>
    </border>
    <border>
      <left style="medium">
        <color indexed="64"/>
      </left>
      <right style="medium">
        <color rgb="FFCCCCCC"/>
      </right>
      <top style="medium">
        <color rgb="FFCCCCCC"/>
      </top>
      <bottom style="medium">
        <color rgb="FFCCCCCC"/>
      </bottom>
      <diagonal/>
    </border>
    <border>
      <left style="medium">
        <color rgb="FFCCCCCC"/>
      </left>
      <right style="medium">
        <color indexed="64"/>
      </right>
      <top style="medium">
        <color rgb="FFCCCCCC"/>
      </top>
      <bottom style="medium">
        <color rgb="FFCCCCCC"/>
      </bottom>
      <diagonal/>
    </border>
    <border>
      <left style="medium">
        <color rgb="FFCCCCCC"/>
      </left>
      <right style="medium">
        <color indexed="64"/>
      </right>
      <top style="medium">
        <color rgb="FFCCCCCC"/>
      </top>
      <bottom style="medium">
        <color indexed="64"/>
      </bottom>
      <diagonal/>
    </border>
    <border>
      <left style="medium">
        <color indexed="64"/>
      </left>
      <right style="medium">
        <color indexed="64"/>
      </right>
      <top style="medium">
        <color rgb="FFCCCCCC"/>
      </top>
      <bottom style="medium">
        <color rgb="FFCCCCCC"/>
      </bottom>
      <diagonal/>
    </border>
    <border>
      <left style="medium">
        <color indexed="64"/>
      </left>
      <right style="medium">
        <color indexed="64"/>
      </right>
      <top style="medium">
        <color rgb="FFCCCCCC"/>
      </top>
      <bottom style="medium">
        <color indexed="64"/>
      </bottom>
      <diagonal/>
    </border>
    <border>
      <left/>
      <right style="medium">
        <color indexed="64"/>
      </right>
      <top style="medium">
        <color indexed="64"/>
      </top>
      <bottom style="medium">
        <color rgb="FFCCCCCC"/>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indexed="64"/>
      </left>
      <right style="medium">
        <color rgb="FFCCCCCC"/>
      </right>
      <top/>
      <bottom style="medium">
        <color rgb="FFCCCCCC"/>
      </bottom>
      <diagonal/>
    </border>
    <border>
      <left style="medium">
        <color rgb="FFCCCCCC"/>
      </left>
      <right style="medium">
        <color indexed="64"/>
      </right>
      <top/>
      <bottom style="medium">
        <color rgb="FFCCCCCC"/>
      </bottom>
      <diagonal/>
    </border>
    <border>
      <left style="medium">
        <color indexed="64"/>
      </left>
      <right/>
      <top style="medium">
        <color rgb="FFCCCCCC"/>
      </top>
      <bottom style="medium">
        <color rgb="FFCCCCCC"/>
      </bottom>
      <diagonal/>
    </border>
    <border>
      <left style="medium">
        <color indexed="64"/>
      </left>
      <right/>
      <top style="medium">
        <color rgb="FFCCCCCC"/>
      </top>
      <bottom style="medium">
        <color indexed="64"/>
      </bottom>
      <diagonal/>
    </border>
    <border>
      <left style="medium">
        <color rgb="FFCCCCCC"/>
      </left>
      <right/>
      <top/>
      <bottom style="medium">
        <color rgb="FFCCCCCC"/>
      </bottom>
      <diagonal/>
    </border>
    <border>
      <left/>
      <right/>
      <top/>
      <bottom style="medium">
        <color rgb="FFCCCCCC"/>
      </bottom>
      <diagonal/>
    </border>
    <border>
      <left style="medium">
        <color rgb="FFCCCCCC"/>
      </left>
      <right style="medium">
        <color auto="1"/>
      </right>
      <top style="medium">
        <color rgb="FFCCCCCC"/>
      </top>
      <bottom style="medium">
        <color rgb="FF000000"/>
      </bottom>
      <diagonal/>
    </border>
    <border>
      <left style="medium">
        <color rgb="FFCCCCCC"/>
      </left>
      <right/>
      <top style="medium">
        <color rgb="FF000000"/>
      </top>
      <bottom style="medium">
        <color rgb="FFCCCCCC"/>
      </bottom>
      <diagonal/>
    </border>
    <border>
      <left style="medium">
        <color indexed="64"/>
      </left>
      <right style="medium">
        <color indexed="64"/>
      </right>
      <top style="medium">
        <color indexed="64"/>
      </top>
      <bottom style="medium">
        <color indexed="64"/>
      </bottom>
      <diagonal/>
    </border>
    <border>
      <left style="medium">
        <color indexed="64"/>
      </left>
      <right style="medium">
        <color rgb="FFCCCCCC"/>
      </right>
      <top style="medium">
        <color rgb="FFCCCCCC"/>
      </top>
      <bottom style="medium">
        <color indexed="64"/>
      </bottom>
      <diagonal/>
    </border>
    <border>
      <left style="medium">
        <color indexed="64"/>
      </left>
      <right/>
      <top style="medium">
        <color indexed="64"/>
      </top>
      <bottom style="medium">
        <color rgb="FFCCCCCC"/>
      </bottom>
      <diagonal/>
    </border>
    <border>
      <left style="medium">
        <color indexed="64"/>
      </left>
      <right style="medium">
        <color rgb="FFCCCCCC"/>
      </right>
      <top style="medium">
        <color rgb="FFCCCCCC"/>
      </top>
      <bottom style="medium">
        <color rgb="FF000000"/>
      </bottom>
      <diagonal/>
    </border>
    <border>
      <left style="medium">
        <color indexed="64"/>
      </left>
      <right style="medium">
        <color indexed="64"/>
      </right>
      <top/>
      <bottom style="medium">
        <color rgb="FFCCCCCC"/>
      </bottom>
      <diagonal/>
    </border>
    <border>
      <left style="medium">
        <color rgb="FFCCCCCC"/>
      </left>
      <right/>
      <top style="medium">
        <color rgb="FFCCCCCC"/>
      </top>
      <bottom style="thick">
        <color rgb="FF000000"/>
      </bottom>
      <diagonal/>
    </border>
    <border>
      <left style="medium">
        <color rgb="FFCCCCCC"/>
      </left>
      <right style="thick">
        <color rgb="FF000000"/>
      </right>
      <top/>
      <bottom style="medium">
        <color rgb="FFCCCCCC"/>
      </bottom>
      <diagonal/>
    </border>
    <border>
      <left style="medium">
        <color rgb="FFCCCCCC"/>
      </left>
      <right style="mediumDashed">
        <color rgb="FF000000"/>
      </right>
      <top/>
      <bottom style="medium">
        <color rgb="FFCCCCCC"/>
      </bottom>
      <diagonal/>
    </border>
  </borders>
  <cellStyleXfs count="1">
    <xf numFmtId="0" fontId="0" fillId="0" borderId="0"/>
  </cellStyleXfs>
  <cellXfs count="73">
    <xf numFmtId="0" fontId="0" fillId="0" borderId="0" xfId="0"/>
    <xf numFmtId="0" fontId="1" fillId="2" borderId="1" xfId="0" applyFont="1" applyFill="1" applyBorder="1" applyAlignment="1">
      <alignment vertical="center" wrapText="1"/>
    </xf>
    <xf numFmtId="0" fontId="1" fillId="3" borderId="1" xfId="0" applyFont="1" applyFill="1" applyBorder="1" applyAlignment="1">
      <alignment wrapText="1"/>
    </xf>
    <xf numFmtId="0" fontId="1" fillId="0" borderId="1" xfId="0" applyFont="1" applyBorder="1" applyAlignment="1">
      <alignment vertical="center" wrapText="1"/>
    </xf>
    <xf numFmtId="0" fontId="1" fillId="4" borderId="1" xfId="0" applyFont="1" applyFill="1" applyBorder="1" applyAlignment="1">
      <alignment wrapText="1"/>
    </xf>
    <xf numFmtId="0" fontId="7" fillId="4" borderId="7" xfId="0" applyFont="1" applyFill="1" applyBorder="1" applyAlignment="1">
      <alignment wrapText="1"/>
    </xf>
    <xf numFmtId="0" fontId="7" fillId="5" borderId="7" xfId="0" applyFont="1" applyFill="1" applyBorder="1" applyAlignment="1">
      <alignment wrapText="1"/>
    </xf>
    <xf numFmtId="0" fontId="1" fillId="5" borderId="1" xfId="0" applyFont="1" applyFill="1" applyBorder="1" applyAlignment="1">
      <alignment wrapText="1"/>
    </xf>
    <xf numFmtId="0" fontId="7" fillId="6" borderId="10" xfId="0" applyFont="1" applyFill="1" applyBorder="1" applyAlignment="1">
      <alignment wrapText="1"/>
    </xf>
    <xf numFmtId="0" fontId="1" fillId="6" borderId="11" xfId="0" applyFont="1" applyFill="1" applyBorder="1" applyAlignment="1">
      <alignment wrapText="1"/>
    </xf>
    <xf numFmtId="0" fontId="7" fillId="6" borderId="7" xfId="0" applyFont="1" applyFill="1" applyBorder="1" applyAlignment="1">
      <alignment wrapText="1"/>
    </xf>
    <xf numFmtId="0" fontId="1" fillId="6" borderId="1" xfId="0" applyFont="1" applyFill="1" applyBorder="1" applyAlignment="1">
      <alignment wrapText="1"/>
    </xf>
    <xf numFmtId="164" fontId="0" fillId="0" borderId="0" xfId="0" applyNumberFormat="1"/>
    <xf numFmtId="165" fontId="0" fillId="0" borderId="0" xfId="0" applyNumberFormat="1"/>
    <xf numFmtId="0" fontId="1" fillId="4" borderId="2" xfId="0" applyFont="1" applyFill="1" applyBorder="1" applyAlignment="1">
      <alignment wrapText="1"/>
    </xf>
    <xf numFmtId="0" fontId="1" fillId="5" borderId="2" xfId="0" applyFont="1" applyFill="1" applyBorder="1" applyAlignment="1">
      <alignment wrapText="1"/>
    </xf>
    <xf numFmtId="0" fontId="1" fillId="6" borderId="15" xfId="0" applyFont="1" applyFill="1" applyBorder="1" applyAlignment="1">
      <alignment wrapText="1"/>
    </xf>
    <xf numFmtId="164" fontId="1" fillId="3" borderId="1" xfId="0" applyNumberFormat="1" applyFont="1" applyFill="1" applyBorder="1" applyAlignment="1">
      <alignment vertical="center" wrapText="1"/>
    </xf>
    <xf numFmtId="20" fontId="1" fillId="7" borderId="1" xfId="0" applyNumberFormat="1" applyFont="1" applyFill="1" applyBorder="1" applyAlignment="1">
      <alignment horizontal="center" vertical="center" wrapText="1"/>
    </xf>
    <xf numFmtId="20" fontId="1" fillId="7" borderId="8" xfId="0" applyNumberFormat="1" applyFont="1" applyFill="1" applyBorder="1" applyAlignment="1">
      <alignment horizontal="center" vertical="center" wrapText="1"/>
    </xf>
    <xf numFmtId="20" fontId="1" fillId="7" borderId="11" xfId="0" applyNumberFormat="1" applyFont="1" applyFill="1" applyBorder="1" applyAlignment="1">
      <alignment horizontal="center" vertical="center" wrapText="1"/>
    </xf>
    <xf numFmtId="20" fontId="1" fillId="7" borderId="12" xfId="0" applyNumberFormat="1" applyFont="1" applyFill="1" applyBorder="1" applyAlignment="1">
      <alignment horizontal="center" vertical="center" wrapText="1"/>
    </xf>
    <xf numFmtId="166" fontId="8" fillId="8" borderId="16" xfId="0" applyNumberFormat="1" applyFont="1" applyFill="1" applyBorder="1" applyAlignment="1">
      <alignment horizontal="center" vertical="center" wrapText="1"/>
    </xf>
    <xf numFmtId="166" fontId="1" fillId="8" borderId="17" xfId="0" applyNumberFormat="1" applyFont="1" applyFill="1" applyBorder="1" applyAlignment="1">
      <alignment horizontal="center" vertical="center" wrapText="1"/>
    </xf>
    <xf numFmtId="166" fontId="8" fillId="8" borderId="18" xfId="0" applyNumberFormat="1" applyFont="1" applyFill="1" applyBorder="1" applyAlignment="1">
      <alignment horizontal="center" vertical="center" wrapText="1"/>
    </xf>
    <xf numFmtId="166" fontId="1" fillId="8" borderId="19" xfId="0" applyNumberFormat="1" applyFont="1" applyFill="1" applyBorder="1" applyAlignment="1">
      <alignment horizontal="center" vertical="center" wrapText="1"/>
    </xf>
    <xf numFmtId="166" fontId="1" fillId="8" borderId="20" xfId="0" applyNumberFormat="1" applyFont="1" applyFill="1" applyBorder="1" applyAlignment="1">
      <alignment horizontal="center" vertical="center" wrapText="1"/>
    </xf>
    <xf numFmtId="166" fontId="1" fillId="8" borderId="23" xfId="0" applyNumberFormat="1" applyFont="1" applyFill="1" applyBorder="1" applyAlignment="1">
      <alignment horizontal="center" vertical="center" wrapText="1"/>
    </xf>
    <xf numFmtId="166" fontId="1" fillId="8" borderId="21" xfId="0" applyNumberFormat="1" applyFont="1" applyFill="1" applyBorder="1" applyAlignment="1">
      <alignment horizontal="center" vertical="center" wrapText="1"/>
    </xf>
    <xf numFmtId="166" fontId="1" fillId="8" borderId="22" xfId="0" applyNumberFormat="1" applyFont="1" applyFill="1" applyBorder="1" applyAlignment="1">
      <alignment horizontal="center" vertical="center" wrapText="1"/>
    </xf>
    <xf numFmtId="166" fontId="8" fillId="8" borderId="27" xfId="0" applyNumberFormat="1" applyFont="1" applyFill="1" applyBorder="1" applyAlignment="1">
      <alignment horizontal="center" vertical="center" wrapText="1"/>
    </xf>
    <xf numFmtId="166" fontId="1" fillId="8" borderId="28" xfId="0" applyNumberFormat="1" applyFont="1" applyFill="1" applyBorder="1" applyAlignment="1">
      <alignment horizontal="center" vertical="center" wrapText="1"/>
    </xf>
    <xf numFmtId="0" fontId="1" fillId="4" borderId="34" xfId="0" applyFont="1" applyFill="1" applyBorder="1" applyAlignment="1">
      <alignment wrapText="1"/>
    </xf>
    <xf numFmtId="166" fontId="8" fillId="8" borderId="36" xfId="0" applyNumberFormat="1" applyFont="1" applyFill="1" applyBorder="1" applyAlignment="1">
      <alignment horizontal="center" vertical="center" wrapText="1"/>
    </xf>
    <xf numFmtId="166" fontId="8" fillId="8" borderId="37" xfId="0" applyNumberFormat="1" applyFont="1" applyFill="1" applyBorder="1" applyAlignment="1">
      <alignment horizontal="center" vertical="center" wrapText="1"/>
    </xf>
    <xf numFmtId="166" fontId="8" fillId="8" borderId="29" xfId="0" applyNumberFormat="1" applyFont="1" applyFill="1" applyBorder="1" applyAlignment="1">
      <alignment horizontal="center" vertical="center" wrapText="1"/>
    </xf>
    <xf numFmtId="166" fontId="8" fillId="8" borderId="30" xfId="0" applyNumberFormat="1" applyFont="1" applyFill="1" applyBorder="1" applyAlignment="1">
      <alignment horizontal="center" vertical="center" wrapText="1"/>
    </xf>
    <xf numFmtId="0" fontId="1" fillId="6" borderId="2" xfId="0" applyFont="1" applyFill="1" applyBorder="1" applyAlignment="1">
      <alignment wrapText="1"/>
    </xf>
    <xf numFmtId="166" fontId="8" fillId="8" borderId="38" xfId="0" applyNumberFormat="1" applyFont="1" applyFill="1" applyBorder="1" applyAlignment="1">
      <alignment horizontal="center" vertical="center" wrapText="1"/>
    </xf>
    <xf numFmtId="166" fontId="1" fillId="8" borderId="33" xfId="0" applyNumberFormat="1" applyFont="1" applyFill="1" applyBorder="1" applyAlignment="1">
      <alignment horizontal="center" vertical="center" wrapText="1"/>
    </xf>
    <xf numFmtId="0" fontId="1" fillId="0" borderId="3" xfId="0" applyFont="1" applyBorder="1" applyAlignment="1">
      <alignment vertical="center" wrapText="1"/>
    </xf>
    <xf numFmtId="166" fontId="1" fillId="8" borderId="39" xfId="0" applyNumberFormat="1" applyFont="1" applyFill="1" applyBorder="1" applyAlignment="1">
      <alignment horizontal="center" vertical="center" wrapText="1"/>
    </xf>
    <xf numFmtId="0" fontId="3" fillId="0" borderId="40" xfId="0" applyFont="1" applyBorder="1" applyAlignment="1">
      <alignment horizontal="right" wrapText="1"/>
    </xf>
    <xf numFmtId="0" fontId="6" fillId="4" borderId="41" xfId="0" applyFont="1" applyFill="1" applyBorder="1" applyAlignment="1">
      <alignment wrapText="1"/>
    </xf>
    <xf numFmtId="20" fontId="6" fillId="7" borderId="9" xfId="0" applyNumberFormat="1" applyFont="1" applyFill="1" applyBorder="1" applyAlignment="1">
      <alignment horizontal="center" vertical="center" wrapText="1"/>
    </xf>
    <xf numFmtId="20" fontId="6" fillId="7" borderId="42" xfId="0" applyNumberFormat="1" applyFont="1" applyFill="1" applyBorder="1" applyAlignment="1">
      <alignment horizontal="center" vertical="center" wrapText="1"/>
    </xf>
    <xf numFmtId="20" fontId="1" fillId="7" borderId="9" xfId="0" applyNumberFormat="1" applyFont="1" applyFill="1" applyBorder="1" applyAlignment="1">
      <alignment horizontal="center" vertical="center" wrapText="1"/>
    </xf>
    <xf numFmtId="0" fontId="1" fillId="4" borderId="9" xfId="0" applyFont="1" applyFill="1" applyBorder="1" applyAlignment="1">
      <alignment wrapText="1"/>
    </xf>
    <xf numFmtId="0" fontId="1" fillId="4" borderId="31" xfId="0" applyFont="1" applyFill="1" applyBorder="1" applyAlignment="1">
      <alignment wrapText="1"/>
    </xf>
    <xf numFmtId="164" fontId="5" fillId="10" borderId="35" xfId="0" applyNumberFormat="1" applyFont="1" applyFill="1" applyBorder="1" applyAlignment="1">
      <alignment horizontal="center" wrapText="1"/>
    </xf>
    <xf numFmtId="0" fontId="3" fillId="0" borderId="35" xfId="0" applyFont="1" applyBorder="1" applyAlignment="1">
      <alignment wrapText="1"/>
    </xf>
    <xf numFmtId="165" fontId="4" fillId="9" borderId="35" xfId="0" applyNumberFormat="1" applyFont="1" applyFill="1" applyBorder="1" applyAlignment="1">
      <alignment horizontal="center" wrapText="1"/>
    </xf>
    <xf numFmtId="0" fontId="4" fillId="0" borderId="35" xfId="0" applyFont="1" applyBorder="1" applyAlignment="1">
      <alignment horizontal="center" wrapText="1"/>
    </xf>
    <xf numFmtId="165" fontId="4" fillId="10" borderId="35" xfId="0" applyNumberFormat="1" applyFont="1" applyFill="1" applyBorder="1" applyAlignment="1">
      <alignment horizontal="center" wrapText="1"/>
    </xf>
    <xf numFmtId="0" fontId="5" fillId="10" borderId="35" xfId="0" applyFont="1" applyFill="1" applyBorder="1" applyAlignment="1">
      <alignment horizontal="center" wrapText="1"/>
    </xf>
    <xf numFmtId="0" fontId="1" fillId="0" borderId="35" xfId="0" applyFont="1" applyBorder="1" applyAlignment="1">
      <alignment wrapText="1"/>
    </xf>
    <xf numFmtId="0" fontId="9" fillId="5" borderId="1" xfId="0" applyFont="1" applyFill="1" applyBorder="1" applyAlignment="1">
      <alignment wrapText="1"/>
    </xf>
    <xf numFmtId="0" fontId="3" fillId="0" borderId="13"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1" fillId="0" borderId="0" xfId="0" applyFont="1" applyAlignment="1">
      <alignment vertical="center" wrapText="1"/>
    </xf>
    <xf numFmtId="0" fontId="3" fillId="0" borderId="14" xfId="0" applyFont="1" applyBorder="1" applyAlignment="1">
      <alignment horizontal="center" vertical="center" wrapText="1"/>
    </xf>
    <xf numFmtId="0" fontId="2" fillId="3" borderId="2" xfId="0" applyFont="1" applyFill="1" applyBorder="1" applyAlignment="1">
      <alignment vertical="center" wrapText="1"/>
    </xf>
    <xf numFmtId="0" fontId="2" fillId="3" borderId="3" xfId="0" applyFont="1" applyFill="1" applyBorder="1" applyAlignment="1">
      <alignment vertical="center" wrapText="1"/>
    </xf>
    <xf numFmtId="0" fontId="2" fillId="3" borderId="4" xfId="0" applyFont="1" applyFill="1" applyBorder="1" applyAlignment="1">
      <alignment vertical="center" wrapText="1"/>
    </xf>
    <xf numFmtId="0" fontId="1" fillId="4" borderId="2" xfId="0" applyFont="1" applyFill="1" applyBorder="1" applyAlignment="1">
      <alignment vertical="top" wrapText="1"/>
    </xf>
    <xf numFmtId="0" fontId="1" fillId="4" borderId="3" xfId="0" applyFont="1" applyFill="1" applyBorder="1" applyAlignment="1">
      <alignment vertical="top" wrapText="1"/>
    </xf>
    <xf numFmtId="0" fontId="1" fillId="4" borderId="4" xfId="0" applyFont="1" applyFill="1" applyBorder="1" applyAlignment="1">
      <alignment vertical="top" wrapText="1"/>
    </xf>
    <xf numFmtId="0" fontId="1" fillId="4" borderId="24" xfId="0" applyFont="1" applyFill="1" applyBorder="1" applyAlignment="1">
      <alignment vertical="top" wrapText="1"/>
    </xf>
    <xf numFmtId="0" fontId="1" fillId="4" borderId="25" xfId="0" applyFont="1" applyFill="1" applyBorder="1" applyAlignment="1">
      <alignment vertical="top" wrapText="1"/>
    </xf>
    <xf numFmtId="0" fontId="1" fillId="4" borderId="26" xfId="0" applyFont="1" applyFill="1" applyBorder="1" applyAlignment="1">
      <alignment vertical="top" wrapText="1"/>
    </xf>
    <xf numFmtId="0" fontId="1" fillId="0" borderId="32" xfId="0" applyFont="1" applyBorder="1" applyAlignment="1">
      <alignment vertical="center" wrapText="1"/>
    </xf>
    <xf numFmtId="0" fontId="1" fillId="0" borderId="25"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9"/>
  <sheetViews>
    <sheetView tabSelected="1" topLeftCell="A21" workbookViewId="0">
      <selection activeCell="T44" sqref="T44"/>
    </sheetView>
  </sheetViews>
  <sheetFormatPr defaultRowHeight="15" x14ac:dyDescent="0.25"/>
  <cols>
    <col min="2" max="2" width="15" customWidth="1"/>
    <col min="3" max="5" width="10" customWidth="1"/>
    <col min="6" max="6" width="32.28515625" customWidth="1"/>
    <col min="7" max="7" width="21.42578125" customWidth="1"/>
    <col min="8" max="8" width="10" style="13" customWidth="1"/>
    <col min="9" max="9" width="10" customWidth="1"/>
    <col min="11" max="11" width="14" style="12" customWidth="1"/>
  </cols>
  <sheetData>
    <row r="1" spans="1:11" ht="46.5" customHeight="1" x14ac:dyDescent="0.25">
      <c r="A1" s="1"/>
      <c r="B1" s="62" t="s">
        <v>0</v>
      </c>
      <c r="C1" s="63"/>
      <c r="D1" s="64"/>
      <c r="E1" s="62" t="s">
        <v>1</v>
      </c>
      <c r="F1" s="63"/>
      <c r="G1" s="63"/>
      <c r="H1" s="64"/>
      <c r="I1" s="2"/>
      <c r="J1" s="2"/>
      <c r="K1" s="17"/>
    </row>
    <row r="2" spans="1:11" ht="38.25" customHeight="1" x14ac:dyDescent="0.25">
      <c r="A2" s="3"/>
      <c r="B2" s="65" t="s">
        <v>2</v>
      </c>
      <c r="C2" s="66"/>
      <c r="D2" s="66"/>
      <c r="E2" s="66"/>
      <c r="F2" s="66"/>
      <c r="G2" s="66"/>
      <c r="H2" s="66"/>
      <c r="I2" s="66"/>
      <c r="J2" s="66"/>
      <c r="K2" s="67"/>
    </row>
    <row r="3" spans="1:11" ht="15.75" thickBot="1" x14ac:dyDescent="0.3">
      <c r="A3" s="3"/>
      <c r="B3" s="65" t="s">
        <v>3</v>
      </c>
      <c r="C3" s="66"/>
      <c r="D3" s="66"/>
      <c r="E3" s="66"/>
      <c r="F3" s="66"/>
      <c r="G3" s="66"/>
      <c r="H3" s="66"/>
      <c r="I3" s="66"/>
      <c r="J3" s="66"/>
      <c r="K3" s="67"/>
    </row>
    <row r="4" spans="1:11" ht="25.5" customHeight="1" thickBot="1" x14ac:dyDescent="0.3">
      <c r="A4" s="3"/>
      <c r="B4" s="68" t="s">
        <v>4</v>
      </c>
      <c r="C4" s="69"/>
      <c r="D4" s="69"/>
      <c r="E4" s="69"/>
      <c r="F4" s="69"/>
      <c r="G4" s="69"/>
      <c r="H4" s="69"/>
      <c r="I4" s="69"/>
      <c r="J4" s="69"/>
      <c r="K4" s="70"/>
    </row>
    <row r="5" spans="1:11" ht="30.75" thickBot="1" x14ac:dyDescent="0.3">
      <c r="A5" s="42" t="s">
        <v>5</v>
      </c>
      <c r="B5" s="50" t="s">
        <v>6</v>
      </c>
      <c r="C5" s="51" t="s">
        <v>7</v>
      </c>
      <c r="D5" s="51" t="s">
        <v>8</v>
      </c>
      <c r="E5" s="51" t="s">
        <v>9</v>
      </c>
      <c r="F5" s="52" t="s">
        <v>10</v>
      </c>
      <c r="G5" s="52" t="s">
        <v>11</v>
      </c>
      <c r="H5" s="53" t="s">
        <v>12</v>
      </c>
      <c r="I5" s="54" t="s">
        <v>13</v>
      </c>
      <c r="J5" s="55"/>
      <c r="K5" s="49" t="s">
        <v>14</v>
      </c>
    </row>
    <row r="6" spans="1:11" ht="36" customHeight="1" thickTop="1" thickBot="1" x14ac:dyDescent="0.3">
      <c r="A6" s="57">
        <v>12</v>
      </c>
      <c r="B6" s="43" t="s">
        <v>15</v>
      </c>
      <c r="C6" s="44">
        <v>0.375</v>
      </c>
      <c r="D6" s="45">
        <v>0.61458333333333337</v>
      </c>
      <c r="E6" s="46">
        <v>4.1666666666666664E-2</v>
      </c>
      <c r="F6" s="47" t="s">
        <v>16</v>
      </c>
      <c r="G6" s="48"/>
      <c r="H6" s="30">
        <f>IF(OR(C6="",D6=""),0,MAX(0,MOD(D6-C6,1)-IF(E6="",0,E6)))</f>
        <v>0.19791666666666671</v>
      </c>
      <c r="I6" s="31">
        <f>H6</f>
        <v>0.19791666666666671</v>
      </c>
      <c r="J6" s="60"/>
      <c r="K6" s="41">
        <f>H6</f>
        <v>0.19791666666666671</v>
      </c>
    </row>
    <row r="7" spans="1:11" ht="15.75" thickBot="1" x14ac:dyDescent="0.3">
      <c r="A7" s="58"/>
      <c r="B7" s="5" t="s">
        <v>17</v>
      </c>
      <c r="C7" s="18">
        <v>0.375</v>
      </c>
      <c r="D7" s="19">
        <v>0.5</v>
      </c>
      <c r="E7" s="18"/>
      <c r="F7" s="4" t="s">
        <v>18</v>
      </c>
      <c r="G7" s="14"/>
      <c r="H7" s="24">
        <f t="shared" ref="H7:H12" si="0">IF(OR(C7="",D7=""),0,MAX(0,MOD(D7-C7,1)-IF(E7="",0,E7)))</f>
        <v>0.125</v>
      </c>
      <c r="I7" s="25">
        <f>I6+H7</f>
        <v>0.32291666666666674</v>
      </c>
      <c r="J7" s="60"/>
      <c r="K7" s="28">
        <f>K6+H7</f>
        <v>0.32291666666666674</v>
      </c>
    </row>
    <row r="8" spans="1:11" ht="15.75" thickBot="1" x14ac:dyDescent="0.3">
      <c r="A8" s="58"/>
      <c r="B8" s="5" t="s">
        <v>19</v>
      </c>
      <c r="C8" s="18">
        <v>0.5</v>
      </c>
      <c r="D8" s="19">
        <v>0.54166666666666663</v>
      </c>
      <c r="E8" s="18"/>
      <c r="F8" s="4" t="s">
        <v>20</v>
      </c>
      <c r="G8" s="14"/>
      <c r="H8" s="24">
        <f t="shared" si="0"/>
        <v>4.166666666666663E-2</v>
      </c>
      <c r="I8" s="25">
        <f t="shared" ref="I8:I12" si="1">I7+H8</f>
        <v>0.36458333333333337</v>
      </c>
      <c r="J8" s="60"/>
      <c r="K8" s="28">
        <f t="shared" ref="K8:K19" si="2">K7+H8</f>
        <v>0.36458333333333337</v>
      </c>
    </row>
    <row r="9" spans="1:11" ht="15.75" thickBot="1" x14ac:dyDescent="0.3">
      <c r="A9" s="58"/>
      <c r="B9" s="5" t="s">
        <v>21</v>
      </c>
      <c r="C9" s="18"/>
      <c r="D9" s="19"/>
      <c r="E9" s="18"/>
      <c r="F9" s="4"/>
      <c r="G9" s="14"/>
      <c r="H9" s="24">
        <f t="shared" si="0"/>
        <v>0</v>
      </c>
      <c r="I9" s="25">
        <f t="shared" si="1"/>
        <v>0.36458333333333337</v>
      </c>
      <c r="J9" s="60"/>
      <c r="K9" s="28">
        <f t="shared" si="2"/>
        <v>0.36458333333333337</v>
      </c>
    </row>
    <row r="10" spans="1:11" ht="15.75" thickBot="1" x14ac:dyDescent="0.3">
      <c r="A10" s="58"/>
      <c r="B10" s="5" t="s">
        <v>22</v>
      </c>
      <c r="C10" s="18"/>
      <c r="D10" s="19"/>
      <c r="E10" s="18"/>
      <c r="F10" s="4"/>
      <c r="G10" s="14"/>
      <c r="H10" s="24">
        <f t="shared" si="0"/>
        <v>0</v>
      </c>
      <c r="I10" s="25">
        <f t="shared" si="1"/>
        <v>0.36458333333333337</v>
      </c>
      <c r="J10" s="60"/>
      <c r="K10" s="28">
        <f t="shared" si="2"/>
        <v>0.36458333333333337</v>
      </c>
    </row>
    <row r="11" spans="1:11" ht="15.75" thickBot="1" x14ac:dyDescent="0.3">
      <c r="A11" s="58"/>
      <c r="B11" s="6" t="s">
        <v>23</v>
      </c>
      <c r="C11" s="18"/>
      <c r="D11" s="19"/>
      <c r="E11" s="18"/>
      <c r="F11" s="7"/>
      <c r="G11" s="15"/>
      <c r="H11" s="24">
        <f t="shared" si="0"/>
        <v>0</v>
      </c>
      <c r="I11" s="25">
        <f t="shared" si="1"/>
        <v>0.36458333333333337</v>
      </c>
      <c r="J11" s="60"/>
      <c r="K11" s="28">
        <f t="shared" si="2"/>
        <v>0.36458333333333337</v>
      </c>
    </row>
    <row r="12" spans="1:11" ht="15.75" thickBot="1" x14ac:dyDescent="0.3">
      <c r="A12" s="59"/>
      <c r="B12" s="8" t="s">
        <v>24</v>
      </c>
      <c r="C12" s="20">
        <v>0.625</v>
      </c>
      <c r="D12" s="21">
        <v>0.70833333333333337</v>
      </c>
      <c r="E12" s="20"/>
      <c r="F12" s="9" t="s">
        <v>20</v>
      </c>
      <c r="G12" s="16"/>
      <c r="H12" s="33">
        <f t="shared" si="0"/>
        <v>8.333333333333337E-2</v>
      </c>
      <c r="I12" s="26">
        <f t="shared" si="1"/>
        <v>0.44791666666666674</v>
      </c>
      <c r="J12" s="60"/>
      <c r="K12" s="28">
        <f t="shared" si="2"/>
        <v>0.44791666666666674</v>
      </c>
    </row>
    <row r="13" spans="1:11" ht="15.75" thickBot="1" x14ac:dyDescent="0.3">
      <c r="A13" s="61">
        <v>13</v>
      </c>
      <c r="B13" s="5" t="s">
        <v>25</v>
      </c>
      <c r="C13" s="18"/>
      <c r="D13" s="19"/>
      <c r="E13" s="18"/>
      <c r="F13" s="4"/>
      <c r="G13" s="32"/>
      <c r="H13" s="34">
        <f>IF(OR(C13="",D13=""),0,MAX(0,MOD(D13-C13,1)-IF(E13="",0,E13)))</f>
        <v>0</v>
      </c>
      <c r="I13" s="27">
        <f>H13</f>
        <v>0</v>
      </c>
      <c r="J13" s="60"/>
      <c r="K13" s="28">
        <f t="shared" si="2"/>
        <v>0.44791666666666674</v>
      </c>
    </row>
    <row r="14" spans="1:11" ht="15.75" thickBot="1" x14ac:dyDescent="0.3">
      <c r="A14" s="58"/>
      <c r="B14" s="5" t="s">
        <v>26</v>
      </c>
      <c r="C14" s="18">
        <v>0.58333333333333337</v>
      </c>
      <c r="D14" s="19">
        <v>0.83333333333333337</v>
      </c>
      <c r="E14" s="18"/>
      <c r="F14" s="4" t="s">
        <v>27</v>
      </c>
      <c r="G14" s="14"/>
      <c r="H14" s="35">
        <f t="shared" ref="H14:H19" si="3">IF(OR(C14="",D14=""),0,MAX(0,MOD(D14-C14,1)-IF(E14="",0,E14)))</f>
        <v>0.25</v>
      </c>
      <c r="I14" s="25">
        <f>I13+H14</f>
        <v>0.25</v>
      </c>
      <c r="J14" s="60"/>
      <c r="K14" s="28">
        <f t="shared" si="2"/>
        <v>0.69791666666666674</v>
      </c>
    </row>
    <row r="15" spans="1:11" ht="15.75" thickBot="1" x14ac:dyDescent="0.3">
      <c r="A15" s="58"/>
      <c r="B15" s="5" t="s">
        <v>28</v>
      </c>
      <c r="C15" s="18">
        <v>0.75</v>
      </c>
      <c r="D15" s="19">
        <v>1</v>
      </c>
      <c r="E15" s="18"/>
      <c r="F15" s="4" t="s">
        <v>29</v>
      </c>
      <c r="G15" s="14"/>
      <c r="H15" s="35">
        <f t="shared" si="3"/>
        <v>0.25</v>
      </c>
      <c r="I15" s="25">
        <f t="shared" ref="I15:I19" si="4">I14+H15</f>
        <v>0.5</v>
      </c>
      <c r="J15" s="60"/>
      <c r="K15" s="28">
        <f t="shared" si="2"/>
        <v>0.94791666666666674</v>
      </c>
    </row>
    <row r="16" spans="1:11" ht="27" thickBot="1" x14ac:dyDescent="0.3">
      <c r="A16" s="58"/>
      <c r="B16" s="5" t="s">
        <v>30</v>
      </c>
      <c r="C16" s="18">
        <v>0.41666666666666669</v>
      </c>
      <c r="D16" s="19">
        <v>0.54166666666666663</v>
      </c>
      <c r="E16" s="18"/>
      <c r="F16" s="4" t="s">
        <v>31</v>
      </c>
      <c r="G16" s="14"/>
      <c r="H16" s="35">
        <f t="shared" si="3"/>
        <v>0.12499999999999994</v>
      </c>
      <c r="I16" s="25">
        <f t="shared" si="4"/>
        <v>0.625</v>
      </c>
      <c r="J16" s="60"/>
      <c r="K16" s="28">
        <f t="shared" si="2"/>
        <v>1.0729166666666667</v>
      </c>
    </row>
    <row r="17" spans="1:11" ht="15.75" thickBot="1" x14ac:dyDescent="0.3">
      <c r="A17" s="58"/>
      <c r="B17" s="5" t="s">
        <v>32</v>
      </c>
      <c r="C17" s="18"/>
      <c r="D17" s="19"/>
      <c r="E17" s="18"/>
      <c r="F17" s="4"/>
      <c r="G17" s="14"/>
      <c r="H17" s="35">
        <f t="shared" si="3"/>
        <v>0</v>
      </c>
      <c r="I17" s="25">
        <f t="shared" si="4"/>
        <v>0.625</v>
      </c>
      <c r="J17" s="60"/>
      <c r="K17" s="28">
        <f t="shared" si="2"/>
        <v>1.0729166666666667</v>
      </c>
    </row>
    <row r="18" spans="1:11" ht="15.75" thickBot="1" x14ac:dyDescent="0.3">
      <c r="A18" s="58"/>
      <c r="B18" s="6" t="s">
        <v>33</v>
      </c>
      <c r="C18" s="18"/>
      <c r="D18" s="19"/>
      <c r="E18" s="18"/>
      <c r="F18" s="7"/>
      <c r="G18" s="15"/>
      <c r="H18" s="35">
        <f t="shared" si="3"/>
        <v>0</v>
      </c>
      <c r="I18" s="25">
        <f t="shared" si="4"/>
        <v>0.625</v>
      </c>
      <c r="J18" s="60"/>
      <c r="K18" s="28">
        <f t="shared" si="2"/>
        <v>1.0729166666666667</v>
      </c>
    </row>
    <row r="19" spans="1:11" ht="15.75" thickBot="1" x14ac:dyDescent="0.3">
      <c r="A19" s="59"/>
      <c r="B19" s="8" t="s">
        <v>34</v>
      </c>
      <c r="C19" s="20"/>
      <c r="D19" s="21"/>
      <c r="E19" s="20"/>
      <c r="F19" s="9"/>
      <c r="G19" s="16"/>
      <c r="H19" s="36">
        <f t="shared" si="3"/>
        <v>0</v>
      </c>
      <c r="I19" s="26">
        <f t="shared" si="4"/>
        <v>0.625</v>
      </c>
      <c r="J19" s="60"/>
      <c r="K19" s="28">
        <f t="shared" si="2"/>
        <v>1.0729166666666667</v>
      </c>
    </row>
    <row r="20" spans="1:11" ht="15.75" thickBot="1" x14ac:dyDescent="0.3">
      <c r="A20" s="61">
        <v>14</v>
      </c>
      <c r="B20" s="5" t="s">
        <v>35</v>
      </c>
      <c r="C20" s="18"/>
      <c r="D20" s="19"/>
      <c r="E20" s="18"/>
      <c r="F20" s="4"/>
      <c r="G20" s="14"/>
      <c r="H20" s="22">
        <f t="shared" ref="H20:H51" si="5">IF(OR(C20="",D20=""),0,MAX(0,MOD(D20-C20,1)-IF(E20="",0,E20)))</f>
        <v>0</v>
      </c>
      <c r="I20" s="23">
        <f>H20</f>
        <v>0</v>
      </c>
      <c r="J20" s="60"/>
      <c r="K20" s="41">
        <f t="shared" ref="K20:K51" si="6">K19+H20</f>
        <v>1.0729166666666667</v>
      </c>
    </row>
    <row r="21" spans="1:11" ht="15.75" thickBot="1" x14ac:dyDescent="0.3">
      <c r="A21" s="58"/>
      <c r="B21" s="5" t="s">
        <v>36</v>
      </c>
      <c r="C21" s="18"/>
      <c r="D21" s="19"/>
      <c r="E21" s="18"/>
      <c r="F21" s="4"/>
      <c r="G21" s="14"/>
      <c r="H21" s="24">
        <f t="shared" si="5"/>
        <v>0</v>
      </c>
      <c r="I21" s="25">
        <f t="shared" ref="I21:I26" si="7">I20+H21</f>
        <v>0</v>
      </c>
      <c r="J21" s="60"/>
      <c r="K21" s="28">
        <f t="shared" si="6"/>
        <v>1.0729166666666667</v>
      </c>
    </row>
    <row r="22" spans="1:11" ht="39.75" thickBot="1" x14ac:dyDescent="0.3">
      <c r="A22" s="58"/>
      <c r="B22" s="5" t="s">
        <v>37</v>
      </c>
      <c r="C22" s="18">
        <v>0.41666666666666669</v>
      </c>
      <c r="D22" s="19">
        <v>0.52083333333333337</v>
      </c>
      <c r="E22" s="18"/>
      <c r="F22" s="4" t="s">
        <v>105</v>
      </c>
      <c r="G22" s="14"/>
      <c r="H22" s="24">
        <f t="shared" si="5"/>
        <v>0.10416666666666669</v>
      </c>
      <c r="I22" s="25">
        <f t="shared" si="7"/>
        <v>0.10416666666666669</v>
      </c>
      <c r="J22" s="60"/>
      <c r="K22" s="28">
        <f t="shared" si="6"/>
        <v>1.1770833333333335</v>
      </c>
    </row>
    <row r="23" spans="1:11" ht="39.75" thickBot="1" x14ac:dyDescent="0.3">
      <c r="A23" s="58"/>
      <c r="B23" s="5" t="s">
        <v>38</v>
      </c>
      <c r="C23" s="18">
        <v>0.5</v>
      </c>
      <c r="D23" s="19">
        <v>0.58333333333333337</v>
      </c>
      <c r="E23" s="18"/>
      <c r="F23" s="4" t="s">
        <v>106</v>
      </c>
      <c r="G23" s="14"/>
      <c r="H23" s="24">
        <f t="shared" si="5"/>
        <v>8.333333333333337E-2</v>
      </c>
      <c r="I23" s="25">
        <f t="shared" si="7"/>
        <v>0.18750000000000006</v>
      </c>
      <c r="J23" s="60"/>
      <c r="K23" s="28">
        <f t="shared" si="6"/>
        <v>1.260416666666667</v>
      </c>
    </row>
    <row r="24" spans="1:11" ht="65.25" thickBot="1" x14ac:dyDescent="0.3">
      <c r="A24" s="58"/>
      <c r="B24" s="5" t="s">
        <v>39</v>
      </c>
      <c r="C24" s="18">
        <v>0.5</v>
      </c>
      <c r="D24" s="19">
        <v>0.54166666666666663</v>
      </c>
      <c r="E24" s="18"/>
      <c r="F24" s="4" t="s">
        <v>107</v>
      </c>
      <c r="G24" s="14"/>
      <c r="H24" s="24">
        <f t="shared" si="5"/>
        <v>4.166666666666663E-2</v>
      </c>
      <c r="I24" s="25">
        <f t="shared" si="7"/>
        <v>0.22916666666666669</v>
      </c>
      <c r="J24" s="60"/>
      <c r="K24" s="28">
        <f t="shared" si="6"/>
        <v>1.3020833333333335</v>
      </c>
    </row>
    <row r="25" spans="1:11" ht="27" thickBot="1" x14ac:dyDescent="0.3">
      <c r="A25" s="58"/>
      <c r="B25" s="6" t="s">
        <v>40</v>
      </c>
      <c r="C25" s="18">
        <v>0.33333333333333331</v>
      </c>
      <c r="D25" s="19">
        <v>0.66666666666666663</v>
      </c>
      <c r="E25" s="18">
        <v>4.1666666666666664E-2</v>
      </c>
      <c r="F25" s="56" t="s">
        <v>108</v>
      </c>
      <c r="G25" s="15"/>
      <c r="H25" s="24">
        <f t="shared" si="5"/>
        <v>0.29166666666666663</v>
      </c>
      <c r="I25" s="25">
        <f t="shared" si="7"/>
        <v>0.52083333333333326</v>
      </c>
      <c r="J25" s="60"/>
      <c r="K25" s="28">
        <f t="shared" si="6"/>
        <v>1.59375</v>
      </c>
    </row>
    <row r="26" spans="1:11" ht="15.75" thickBot="1" x14ac:dyDescent="0.3">
      <c r="A26" s="59"/>
      <c r="B26" s="8" t="s">
        <v>41</v>
      </c>
      <c r="C26" s="20"/>
      <c r="D26" s="21"/>
      <c r="E26" s="20"/>
      <c r="F26" s="9"/>
      <c r="G26" s="16"/>
      <c r="H26" s="33">
        <f t="shared" si="5"/>
        <v>0</v>
      </c>
      <c r="I26" s="26">
        <f t="shared" si="7"/>
        <v>0.52083333333333326</v>
      </c>
      <c r="J26" s="60"/>
      <c r="K26" s="28">
        <f t="shared" si="6"/>
        <v>1.59375</v>
      </c>
    </row>
    <row r="27" spans="1:11" ht="15.75" thickBot="1" x14ac:dyDescent="0.3">
      <c r="A27" s="61">
        <v>15</v>
      </c>
      <c r="B27" s="5" t="s">
        <v>42</v>
      </c>
      <c r="C27" s="18">
        <v>0.33333333333333331</v>
      </c>
      <c r="D27" s="19">
        <v>0.66666666666666663</v>
      </c>
      <c r="E27" s="18">
        <v>4.1666666666666664E-2</v>
      </c>
      <c r="F27" s="4" t="s">
        <v>109</v>
      </c>
      <c r="G27" s="14"/>
      <c r="H27" s="22">
        <f t="shared" si="5"/>
        <v>0.29166666666666663</v>
      </c>
      <c r="I27" s="23">
        <f>H27</f>
        <v>0.29166666666666663</v>
      </c>
      <c r="J27" s="60"/>
      <c r="K27" s="28">
        <f t="shared" si="6"/>
        <v>1.8854166666666665</v>
      </c>
    </row>
    <row r="28" spans="1:11" ht="15.75" thickBot="1" x14ac:dyDescent="0.3">
      <c r="A28" s="58"/>
      <c r="B28" s="5" t="s">
        <v>43</v>
      </c>
      <c r="C28" s="18">
        <v>0.33333333333333331</v>
      </c>
      <c r="D28" s="19">
        <v>0.66666666666666663</v>
      </c>
      <c r="E28" s="18">
        <v>4.1666666666666664E-2</v>
      </c>
      <c r="F28" s="4" t="s">
        <v>109</v>
      </c>
      <c r="G28" s="14"/>
      <c r="H28" s="24">
        <f t="shared" si="5"/>
        <v>0.29166666666666663</v>
      </c>
      <c r="I28" s="25">
        <f t="shared" ref="I28:I33" si="8">I27+H28</f>
        <v>0.58333333333333326</v>
      </c>
      <c r="J28" s="60"/>
      <c r="K28" s="28">
        <f t="shared" si="6"/>
        <v>2.177083333333333</v>
      </c>
    </row>
    <row r="29" spans="1:11" ht="15.75" thickBot="1" x14ac:dyDescent="0.3">
      <c r="A29" s="58"/>
      <c r="B29" s="5" t="s">
        <v>44</v>
      </c>
      <c r="C29" s="18">
        <v>0.58333333333333337</v>
      </c>
      <c r="D29" s="19">
        <v>0.875</v>
      </c>
      <c r="E29" s="18">
        <v>8.3333333333333329E-2</v>
      </c>
      <c r="F29" s="4" t="s">
        <v>110</v>
      </c>
      <c r="G29" s="14"/>
      <c r="H29" s="24">
        <f t="shared" si="5"/>
        <v>0.20833333333333331</v>
      </c>
      <c r="I29" s="25">
        <f t="shared" si="8"/>
        <v>0.79166666666666652</v>
      </c>
      <c r="J29" s="60"/>
      <c r="K29" s="28">
        <f t="shared" si="6"/>
        <v>2.3854166666666665</v>
      </c>
    </row>
    <row r="30" spans="1:11" ht="15.75" thickBot="1" x14ac:dyDescent="0.3">
      <c r="A30" s="58"/>
      <c r="B30" s="5" t="s">
        <v>45</v>
      </c>
      <c r="C30" s="18">
        <v>0.41666666666666669</v>
      </c>
      <c r="D30" s="19">
        <v>0.54166666666666663</v>
      </c>
      <c r="E30" s="18"/>
      <c r="F30" s="4" t="s">
        <v>111</v>
      </c>
      <c r="G30" s="14"/>
      <c r="H30" s="24">
        <f t="shared" si="5"/>
        <v>0.12499999999999994</v>
      </c>
      <c r="I30" s="25">
        <f t="shared" si="8"/>
        <v>0.91666666666666652</v>
      </c>
      <c r="J30" s="60"/>
      <c r="K30" s="28">
        <f t="shared" si="6"/>
        <v>2.5104166666666665</v>
      </c>
    </row>
    <row r="31" spans="1:11" ht="15.75" thickBot="1" x14ac:dyDescent="0.3">
      <c r="A31" s="58"/>
      <c r="B31" s="5" t="s">
        <v>46</v>
      </c>
      <c r="C31" s="18">
        <v>0.41666666666666669</v>
      </c>
      <c r="D31" s="19">
        <v>0.625</v>
      </c>
      <c r="E31" s="18">
        <v>4.1666666666666664E-2</v>
      </c>
      <c r="F31" s="4" t="s">
        <v>112</v>
      </c>
      <c r="G31" s="14"/>
      <c r="H31" s="24">
        <f t="shared" si="5"/>
        <v>0.16666666666666666</v>
      </c>
      <c r="I31" s="25">
        <f t="shared" si="8"/>
        <v>1.0833333333333333</v>
      </c>
      <c r="J31" s="60"/>
      <c r="K31" s="28">
        <f t="shared" si="6"/>
        <v>2.677083333333333</v>
      </c>
    </row>
    <row r="32" spans="1:11" ht="15.75" thickBot="1" x14ac:dyDescent="0.3">
      <c r="A32" s="58"/>
      <c r="B32" s="6" t="s">
        <v>47</v>
      </c>
      <c r="C32" s="18">
        <v>0.41666666666666669</v>
      </c>
      <c r="D32" s="19">
        <v>0.625</v>
      </c>
      <c r="E32" s="18">
        <v>4.1666666666666664E-2</v>
      </c>
      <c r="F32" s="4" t="s">
        <v>112</v>
      </c>
      <c r="G32" s="15"/>
      <c r="H32" s="24">
        <f t="shared" si="5"/>
        <v>0.16666666666666666</v>
      </c>
      <c r="I32" s="25">
        <f t="shared" si="8"/>
        <v>1.25</v>
      </c>
      <c r="J32" s="60"/>
      <c r="K32" s="28">
        <f t="shared" si="6"/>
        <v>2.8437499999999996</v>
      </c>
    </row>
    <row r="33" spans="1:11" ht="15.75" thickBot="1" x14ac:dyDescent="0.3">
      <c r="A33" s="59"/>
      <c r="B33" s="8" t="s">
        <v>48</v>
      </c>
      <c r="C33" s="20"/>
      <c r="D33" s="21"/>
      <c r="E33" s="20"/>
      <c r="F33" s="9"/>
      <c r="G33" s="16"/>
      <c r="H33" s="33">
        <f t="shared" si="5"/>
        <v>0</v>
      </c>
      <c r="I33" s="26">
        <f t="shared" si="8"/>
        <v>1.25</v>
      </c>
      <c r="J33" s="60"/>
      <c r="K33" s="28">
        <f t="shared" si="6"/>
        <v>2.8437499999999996</v>
      </c>
    </row>
    <row r="34" spans="1:11" ht="15.75" thickBot="1" x14ac:dyDescent="0.3">
      <c r="A34" s="61">
        <v>16</v>
      </c>
      <c r="B34" s="5" t="s">
        <v>49</v>
      </c>
      <c r="C34" s="18"/>
      <c r="D34" s="19"/>
      <c r="E34" s="18"/>
      <c r="F34" s="4"/>
      <c r="G34" s="14"/>
      <c r="H34" s="22">
        <f t="shared" si="5"/>
        <v>0</v>
      </c>
      <c r="I34" s="23">
        <f>H34</f>
        <v>0</v>
      </c>
      <c r="J34" s="60"/>
      <c r="K34" s="28">
        <f t="shared" si="6"/>
        <v>2.8437499999999996</v>
      </c>
    </row>
    <row r="35" spans="1:11" ht="15.75" thickBot="1" x14ac:dyDescent="0.3">
      <c r="A35" s="58"/>
      <c r="B35" s="5" t="s">
        <v>50</v>
      </c>
      <c r="C35" s="18"/>
      <c r="D35" s="19"/>
      <c r="E35" s="18"/>
      <c r="F35" s="4"/>
      <c r="G35" s="14"/>
      <c r="H35" s="24">
        <f t="shared" si="5"/>
        <v>0</v>
      </c>
      <c r="I35" s="25">
        <f t="shared" ref="I35:I40" si="9">I34+H35</f>
        <v>0</v>
      </c>
      <c r="J35" s="60"/>
      <c r="K35" s="28">
        <f t="shared" si="6"/>
        <v>2.8437499999999996</v>
      </c>
    </row>
    <row r="36" spans="1:11" ht="15.75" thickBot="1" x14ac:dyDescent="0.3">
      <c r="A36" s="58"/>
      <c r="B36" s="5" t="s">
        <v>51</v>
      </c>
      <c r="C36" s="18"/>
      <c r="D36" s="19"/>
      <c r="E36" s="18"/>
      <c r="F36" s="4"/>
      <c r="G36" s="14"/>
      <c r="H36" s="24">
        <f t="shared" si="5"/>
        <v>0</v>
      </c>
      <c r="I36" s="25">
        <f t="shared" si="9"/>
        <v>0</v>
      </c>
      <c r="J36" s="60"/>
      <c r="K36" s="28">
        <f t="shared" si="6"/>
        <v>2.8437499999999996</v>
      </c>
    </row>
    <row r="37" spans="1:11" ht="15.75" thickBot="1" x14ac:dyDescent="0.3">
      <c r="A37" s="58"/>
      <c r="B37" s="5" t="s">
        <v>52</v>
      </c>
      <c r="C37" s="18"/>
      <c r="D37" s="19"/>
      <c r="E37" s="18"/>
      <c r="F37" s="4"/>
      <c r="G37" s="14"/>
      <c r="H37" s="24">
        <f t="shared" si="5"/>
        <v>0</v>
      </c>
      <c r="I37" s="25">
        <f t="shared" si="9"/>
        <v>0</v>
      </c>
      <c r="J37" s="60"/>
      <c r="K37" s="28">
        <f t="shared" si="6"/>
        <v>2.8437499999999996</v>
      </c>
    </row>
    <row r="38" spans="1:11" ht="15.75" thickBot="1" x14ac:dyDescent="0.3">
      <c r="A38" s="58"/>
      <c r="B38" s="5" t="s">
        <v>53</v>
      </c>
      <c r="C38" s="18"/>
      <c r="D38" s="19"/>
      <c r="E38" s="18"/>
      <c r="F38" s="4"/>
      <c r="G38" s="14"/>
      <c r="H38" s="24">
        <f t="shared" si="5"/>
        <v>0</v>
      </c>
      <c r="I38" s="25">
        <f t="shared" si="9"/>
        <v>0</v>
      </c>
      <c r="J38" s="60"/>
      <c r="K38" s="28">
        <f t="shared" si="6"/>
        <v>2.8437499999999996</v>
      </c>
    </row>
    <row r="39" spans="1:11" ht="15.75" thickBot="1" x14ac:dyDescent="0.3">
      <c r="A39" s="58"/>
      <c r="B39" s="6" t="s">
        <v>54</v>
      </c>
      <c r="C39" s="18"/>
      <c r="D39" s="19"/>
      <c r="E39" s="18"/>
      <c r="F39" s="7"/>
      <c r="G39" s="15"/>
      <c r="H39" s="24">
        <f t="shared" si="5"/>
        <v>0</v>
      </c>
      <c r="I39" s="25">
        <f t="shared" si="9"/>
        <v>0</v>
      </c>
      <c r="J39" s="60"/>
      <c r="K39" s="28">
        <f t="shared" si="6"/>
        <v>2.8437499999999996</v>
      </c>
    </row>
    <row r="40" spans="1:11" ht="15.75" thickBot="1" x14ac:dyDescent="0.3">
      <c r="A40" s="59"/>
      <c r="B40" s="8" t="s">
        <v>55</v>
      </c>
      <c r="C40" s="20"/>
      <c r="D40" s="21"/>
      <c r="E40" s="20"/>
      <c r="F40" s="9"/>
      <c r="G40" s="16"/>
      <c r="H40" s="38">
        <f t="shared" si="5"/>
        <v>0</v>
      </c>
      <c r="I40" s="39">
        <f t="shared" si="9"/>
        <v>0</v>
      </c>
      <c r="J40" s="71"/>
      <c r="K40" s="28">
        <f t="shared" si="6"/>
        <v>2.8437499999999996</v>
      </c>
    </row>
    <row r="41" spans="1:11" ht="15.75" thickBot="1" x14ac:dyDescent="0.3">
      <c r="A41" s="61">
        <v>17</v>
      </c>
      <c r="B41" s="5" t="s">
        <v>56</v>
      </c>
      <c r="C41" s="18"/>
      <c r="D41" s="19"/>
      <c r="E41" s="18"/>
      <c r="F41" s="4"/>
      <c r="G41" s="14"/>
      <c r="H41" s="24">
        <f t="shared" si="5"/>
        <v>0</v>
      </c>
      <c r="I41" s="25">
        <f>H41</f>
        <v>0</v>
      </c>
      <c r="J41" s="72"/>
      <c r="K41" s="28">
        <f t="shared" si="6"/>
        <v>2.8437499999999996</v>
      </c>
    </row>
    <row r="42" spans="1:11" ht="15.75" thickBot="1" x14ac:dyDescent="0.3">
      <c r="A42" s="58"/>
      <c r="B42" s="5" t="s">
        <v>57</v>
      </c>
      <c r="C42" s="18"/>
      <c r="D42" s="19"/>
      <c r="E42" s="18"/>
      <c r="F42" s="4"/>
      <c r="G42" s="14"/>
      <c r="H42" s="24">
        <f t="shared" si="5"/>
        <v>0</v>
      </c>
      <c r="I42" s="25">
        <f t="shared" ref="I42:I47" si="10">I41+H42</f>
        <v>0</v>
      </c>
      <c r="J42" s="60"/>
      <c r="K42" s="28">
        <f t="shared" si="6"/>
        <v>2.8437499999999996</v>
      </c>
    </row>
    <row r="43" spans="1:11" ht="15.75" thickBot="1" x14ac:dyDescent="0.3">
      <c r="A43" s="58"/>
      <c r="B43" s="5" t="s">
        <v>58</v>
      </c>
      <c r="C43" s="18"/>
      <c r="D43" s="19"/>
      <c r="E43" s="18"/>
      <c r="F43" s="4"/>
      <c r="G43" s="14"/>
      <c r="H43" s="24">
        <f t="shared" si="5"/>
        <v>0</v>
      </c>
      <c r="I43" s="25">
        <f t="shared" si="10"/>
        <v>0</v>
      </c>
      <c r="J43" s="60"/>
      <c r="K43" s="28">
        <f t="shared" si="6"/>
        <v>2.8437499999999996</v>
      </c>
    </row>
    <row r="44" spans="1:11" ht="15.75" thickBot="1" x14ac:dyDescent="0.3">
      <c r="A44" s="58"/>
      <c r="B44" s="5" t="s">
        <v>59</v>
      </c>
      <c r="C44" s="18"/>
      <c r="D44" s="19"/>
      <c r="E44" s="18"/>
      <c r="F44" s="4"/>
      <c r="G44" s="14"/>
      <c r="H44" s="24">
        <f t="shared" si="5"/>
        <v>0</v>
      </c>
      <c r="I44" s="25">
        <f t="shared" si="10"/>
        <v>0</v>
      </c>
      <c r="J44" s="60"/>
      <c r="K44" s="28">
        <f t="shared" si="6"/>
        <v>2.8437499999999996</v>
      </c>
    </row>
    <row r="45" spans="1:11" ht="15.75" thickBot="1" x14ac:dyDescent="0.3">
      <c r="A45" s="58"/>
      <c r="B45" s="5" t="s">
        <v>60</v>
      </c>
      <c r="C45" s="18"/>
      <c r="D45" s="19"/>
      <c r="E45" s="18"/>
      <c r="F45" s="4"/>
      <c r="G45" s="14"/>
      <c r="H45" s="24">
        <f t="shared" si="5"/>
        <v>0</v>
      </c>
      <c r="I45" s="25">
        <f t="shared" si="10"/>
        <v>0</v>
      </c>
      <c r="J45" s="60"/>
      <c r="K45" s="28">
        <f t="shared" si="6"/>
        <v>2.8437499999999996</v>
      </c>
    </row>
    <row r="46" spans="1:11" ht="15.75" thickBot="1" x14ac:dyDescent="0.3">
      <c r="A46" s="58"/>
      <c r="B46" s="6" t="s">
        <v>61</v>
      </c>
      <c r="C46" s="18"/>
      <c r="D46" s="19"/>
      <c r="E46" s="18"/>
      <c r="F46" s="7"/>
      <c r="G46" s="15"/>
      <c r="H46" s="24">
        <f t="shared" si="5"/>
        <v>0</v>
      </c>
      <c r="I46" s="25">
        <f t="shared" si="10"/>
        <v>0</v>
      </c>
      <c r="J46" s="60"/>
      <c r="K46" s="28">
        <f t="shared" si="6"/>
        <v>2.8437499999999996</v>
      </c>
    </row>
    <row r="47" spans="1:11" ht="15.75" thickBot="1" x14ac:dyDescent="0.3">
      <c r="A47" s="59"/>
      <c r="B47" s="8" t="s">
        <v>62</v>
      </c>
      <c r="C47" s="20"/>
      <c r="D47" s="21"/>
      <c r="E47" s="20"/>
      <c r="F47" s="9"/>
      <c r="G47" s="16"/>
      <c r="H47" s="38">
        <f t="shared" si="5"/>
        <v>0</v>
      </c>
      <c r="I47" s="39">
        <f t="shared" si="10"/>
        <v>0</v>
      </c>
      <c r="J47" s="60"/>
      <c r="K47" s="28">
        <f t="shared" si="6"/>
        <v>2.8437499999999996</v>
      </c>
    </row>
    <row r="48" spans="1:11" ht="15.75" thickBot="1" x14ac:dyDescent="0.3">
      <c r="A48" s="61">
        <v>18</v>
      </c>
      <c r="B48" s="5" t="s">
        <v>63</v>
      </c>
      <c r="C48" s="18"/>
      <c r="D48" s="19"/>
      <c r="E48" s="18"/>
      <c r="F48" s="4"/>
      <c r="G48" s="14"/>
      <c r="H48" s="24">
        <f t="shared" si="5"/>
        <v>0</v>
      </c>
      <c r="I48" s="25">
        <f>H48</f>
        <v>0</v>
      </c>
      <c r="J48" s="60"/>
      <c r="K48" s="28">
        <f t="shared" si="6"/>
        <v>2.8437499999999996</v>
      </c>
    </row>
    <row r="49" spans="1:11" ht="15.75" thickBot="1" x14ac:dyDescent="0.3">
      <c r="A49" s="58"/>
      <c r="B49" s="5" t="s">
        <v>64</v>
      </c>
      <c r="C49" s="18"/>
      <c r="D49" s="19"/>
      <c r="E49" s="18"/>
      <c r="F49" s="4"/>
      <c r="G49" s="14"/>
      <c r="H49" s="24">
        <f t="shared" si="5"/>
        <v>0</v>
      </c>
      <c r="I49" s="25">
        <f t="shared" ref="I49:I54" si="11">I48+H49</f>
        <v>0</v>
      </c>
      <c r="J49" s="60"/>
      <c r="K49" s="28">
        <f t="shared" si="6"/>
        <v>2.8437499999999996</v>
      </c>
    </row>
    <row r="50" spans="1:11" ht="15.75" thickBot="1" x14ac:dyDescent="0.3">
      <c r="A50" s="58"/>
      <c r="B50" s="5" t="s">
        <v>65</v>
      </c>
      <c r="C50" s="18"/>
      <c r="D50" s="19"/>
      <c r="E50" s="18"/>
      <c r="F50" s="4"/>
      <c r="G50" s="14"/>
      <c r="H50" s="24">
        <f t="shared" si="5"/>
        <v>0</v>
      </c>
      <c r="I50" s="25">
        <f t="shared" si="11"/>
        <v>0</v>
      </c>
      <c r="J50" s="60"/>
      <c r="K50" s="28">
        <f t="shared" si="6"/>
        <v>2.8437499999999996</v>
      </c>
    </row>
    <row r="51" spans="1:11" ht="15.75" thickBot="1" x14ac:dyDescent="0.3">
      <c r="A51" s="58"/>
      <c r="B51" s="5" t="s">
        <v>66</v>
      </c>
      <c r="C51" s="18"/>
      <c r="D51" s="19"/>
      <c r="E51" s="18"/>
      <c r="F51" s="4"/>
      <c r="G51" s="14"/>
      <c r="H51" s="24">
        <f t="shared" si="5"/>
        <v>0</v>
      </c>
      <c r="I51" s="25">
        <f t="shared" si="11"/>
        <v>0</v>
      </c>
      <c r="J51" s="60"/>
      <c r="K51" s="28">
        <f t="shared" si="6"/>
        <v>2.8437499999999996</v>
      </c>
    </row>
    <row r="52" spans="1:11" ht="15.75" thickBot="1" x14ac:dyDescent="0.3">
      <c r="A52" s="58"/>
      <c r="B52" s="5" t="s">
        <v>67</v>
      </c>
      <c r="C52" s="18"/>
      <c r="D52" s="19"/>
      <c r="E52" s="18"/>
      <c r="F52" s="4"/>
      <c r="G52" s="14"/>
      <c r="H52" s="24">
        <f t="shared" ref="H52:H83" si="12">IF(OR(C52="",D52=""),0,MAX(0,MOD(D52-C52,1)-IF(E52="",0,E52)))</f>
        <v>0</v>
      </c>
      <c r="I52" s="25">
        <f t="shared" si="11"/>
        <v>0</v>
      </c>
      <c r="J52" s="60"/>
      <c r="K52" s="28">
        <f t="shared" ref="K52:K83" si="13">K51+H52</f>
        <v>2.8437499999999996</v>
      </c>
    </row>
    <row r="53" spans="1:11" ht="15.75" thickBot="1" x14ac:dyDescent="0.3">
      <c r="A53" s="58"/>
      <c r="B53" s="6" t="s">
        <v>68</v>
      </c>
      <c r="C53" s="18"/>
      <c r="D53" s="19"/>
      <c r="E53" s="18"/>
      <c r="F53" s="7"/>
      <c r="G53" s="15"/>
      <c r="H53" s="24">
        <f t="shared" si="12"/>
        <v>0</v>
      </c>
      <c r="I53" s="25">
        <f t="shared" si="11"/>
        <v>0</v>
      </c>
      <c r="J53" s="60"/>
      <c r="K53" s="28">
        <f t="shared" si="13"/>
        <v>2.8437499999999996</v>
      </c>
    </row>
    <row r="54" spans="1:11" ht="15.75" thickBot="1" x14ac:dyDescent="0.3">
      <c r="A54" s="59"/>
      <c r="B54" s="8" t="s">
        <v>69</v>
      </c>
      <c r="C54" s="20"/>
      <c r="D54" s="21"/>
      <c r="E54" s="20"/>
      <c r="F54" s="9"/>
      <c r="G54" s="16"/>
      <c r="H54" s="38">
        <f t="shared" si="12"/>
        <v>0</v>
      </c>
      <c r="I54" s="39">
        <f t="shared" si="11"/>
        <v>0</v>
      </c>
      <c r="J54" s="71"/>
      <c r="K54" s="28">
        <f t="shared" si="13"/>
        <v>2.8437499999999996</v>
      </c>
    </row>
    <row r="55" spans="1:11" ht="15.75" thickBot="1" x14ac:dyDescent="0.3">
      <c r="A55" s="61">
        <v>19</v>
      </c>
      <c r="B55" s="5" t="s">
        <v>70</v>
      </c>
      <c r="C55" s="18"/>
      <c r="D55" s="19"/>
      <c r="E55" s="18"/>
      <c r="F55" s="4"/>
      <c r="G55" s="14"/>
      <c r="H55" s="24">
        <f t="shared" si="12"/>
        <v>0</v>
      </c>
      <c r="I55" s="25">
        <f>H55</f>
        <v>0</v>
      </c>
      <c r="J55" s="72"/>
      <c r="K55" s="28">
        <f t="shared" si="13"/>
        <v>2.8437499999999996</v>
      </c>
    </row>
    <row r="56" spans="1:11" ht="15.75" thickBot="1" x14ac:dyDescent="0.3">
      <c r="A56" s="58"/>
      <c r="B56" s="5" t="s">
        <v>71</v>
      </c>
      <c r="C56" s="18"/>
      <c r="D56" s="19"/>
      <c r="E56" s="18"/>
      <c r="F56" s="4"/>
      <c r="G56" s="14"/>
      <c r="H56" s="24">
        <f t="shared" si="12"/>
        <v>0</v>
      </c>
      <c r="I56" s="25">
        <f t="shared" ref="I56:I61" si="14">I55+H56</f>
        <v>0</v>
      </c>
      <c r="J56" s="60"/>
      <c r="K56" s="28">
        <f t="shared" si="13"/>
        <v>2.8437499999999996</v>
      </c>
    </row>
    <row r="57" spans="1:11" ht="15.75" thickBot="1" x14ac:dyDescent="0.3">
      <c r="A57" s="58"/>
      <c r="B57" s="5" t="s">
        <v>72</v>
      </c>
      <c r="C57" s="18"/>
      <c r="D57" s="19"/>
      <c r="E57" s="18"/>
      <c r="F57" s="4"/>
      <c r="G57" s="14"/>
      <c r="H57" s="24">
        <f t="shared" si="12"/>
        <v>0</v>
      </c>
      <c r="I57" s="25">
        <f t="shared" si="14"/>
        <v>0</v>
      </c>
      <c r="J57" s="60"/>
      <c r="K57" s="28">
        <f t="shared" si="13"/>
        <v>2.8437499999999996</v>
      </c>
    </row>
    <row r="58" spans="1:11" ht="15.75" thickBot="1" x14ac:dyDescent="0.3">
      <c r="A58" s="58"/>
      <c r="B58" s="5" t="s">
        <v>73</v>
      </c>
      <c r="C58" s="18"/>
      <c r="D58" s="19"/>
      <c r="E58" s="18"/>
      <c r="F58" s="4"/>
      <c r="G58" s="14"/>
      <c r="H58" s="24">
        <f t="shared" si="12"/>
        <v>0</v>
      </c>
      <c r="I58" s="25">
        <f t="shared" si="14"/>
        <v>0</v>
      </c>
      <c r="J58" s="60"/>
      <c r="K58" s="28">
        <f t="shared" si="13"/>
        <v>2.8437499999999996</v>
      </c>
    </row>
    <row r="59" spans="1:11" ht="15.75" thickBot="1" x14ac:dyDescent="0.3">
      <c r="A59" s="58"/>
      <c r="B59" s="5" t="s">
        <v>74</v>
      </c>
      <c r="C59" s="18"/>
      <c r="D59" s="19"/>
      <c r="E59" s="18"/>
      <c r="F59" s="4"/>
      <c r="G59" s="14"/>
      <c r="H59" s="24">
        <f t="shared" si="12"/>
        <v>0</v>
      </c>
      <c r="I59" s="25">
        <f t="shared" si="14"/>
        <v>0</v>
      </c>
      <c r="J59" s="60"/>
      <c r="K59" s="28">
        <f t="shared" si="13"/>
        <v>2.8437499999999996</v>
      </c>
    </row>
    <row r="60" spans="1:11" ht="15.75" thickBot="1" x14ac:dyDescent="0.3">
      <c r="A60" s="58"/>
      <c r="B60" s="6" t="s">
        <v>75</v>
      </c>
      <c r="C60" s="18"/>
      <c r="D60" s="19"/>
      <c r="E60" s="18"/>
      <c r="F60" s="7"/>
      <c r="G60" s="15"/>
      <c r="H60" s="24">
        <f t="shared" si="12"/>
        <v>0</v>
      </c>
      <c r="I60" s="25">
        <f t="shared" si="14"/>
        <v>0</v>
      </c>
      <c r="J60" s="60"/>
      <c r="K60" s="28">
        <f t="shared" si="13"/>
        <v>2.8437499999999996</v>
      </c>
    </row>
    <row r="61" spans="1:11" ht="15.75" thickBot="1" x14ac:dyDescent="0.3">
      <c r="A61" s="59"/>
      <c r="B61" s="8" t="s">
        <v>76</v>
      </c>
      <c r="C61" s="20"/>
      <c r="D61" s="21"/>
      <c r="E61" s="20"/>
      <c r="F61" s="9"/>
      <c r="G61" s="16"/>
      <c r="H61" s="38">
        <f t="shared" si="12"/>
        <v>0</v>
      </c>
      <c r="I61" s="39">
        <f t="shared" si="14"/>
        <v>0</v>
      </c>
      <c r="J61" s="60"/>
      <c r="K61" s="28">
        <f t="shared" si="13"/>
        <v>2.8437499999999996</v>
      </c>
    </row>
    <row r="62" spans="1:11" ht="15.75" thickBot="1" x14ac:dyDescent="0.3">
      <c r="A62" s="61">
        <v>20</v>
      </c>
      <c r="B62" s="5" t="s">
        <v>77</v>
      </c>
      <c r="C62" s="18"/>
      <c r="D62" s="19"/>
      <c r="E62" s="18"/>
      <c r="F62" s="4"/>
      <c r="G62" s="14"/>
      <c r="H62" s="24">
        <f t="shared" si="12"/>
        <v>0</v>
      </c>
      <c r="I62" s="25">
        <f>H62</f>
        <v>0</v>
      </c>
      <c r="J62" s="60"/>
      <c r="K62" s="28">
        <f t="shared" si="13"/>
        <v>2.8437499999999996</v>
      </c>
    </row>
    <row r="63" spans="1:11" ht="15.75" thickBot="1" x14ac:dyDescent="0.3">
      <c r="A63" s="58"/>
      <c r="B63" s="5" t="s">
        <v>78</v>
      </c>
      <c r="C63" s="18"/>
      <c r="D63" s="19"/>
      <c r="E63" s="18"/>
      <c r="F63" s="4"/>
      <c r="G63" s="14"/>
      <c r="H63" s="24">
        <f t="shared" si="12"/>
        <v>0</v>
      </c>
      <c r="I63" s="25">
        <f t="shared" ref="I63:I68" si="15">I62+H63</f>
        <v>0</v>
      </c>
      <c r="J63" s="60"/>
      <c r="K63" s="28">
        <f t="shared" si="13"/>
        <v>2.8437499999999996</v>
      </c>
    </row>
    <row r="64" spans="1:11" ht="15.75" thickBot="1" x14ac:dyDescent="0.3">
      <c r="A64" s="58"/>
      <c r="B64" s="5" t="s">
        <v>79</v>
      </c>
      <c r="C64" s="18"/>
      <c r="D64" s="19"/>
      <c r="E64" s="18"/>
      <c r="F64" s="4"/>
      <c r="G64" s="14"/>
      <c r="H64" s="24">
        <f t="shared" si="12"/>
        <v>0</v>
      </c>
      <c r="I64" s="25">
        <f t="shared" si="15"/>
        <v>0</v>
      </c>
      <c r="J64" s="60"/>
      <c r="K64" s="28">
        <f t="shared" si="13"/>
        <v>2.8437499999999996</v>
      </c>
    </row>
    <row r="65" spans="1:11" ht="15.75" thickBot="1" x14ac:dyDescent="0.3">
      <c r="A65" s="58"/>
      <c r="B65" s="5" t="s">
        <v>80</v>
      </c>
      <c r="C65" s="18"/>
      <c r="D65" s="19"/>
      <c r="E65" s="18"/>
      <c r="F65" s="4"/>
      <c r="G65" s="14"/>
      <c r="H65" s="24">
        <f t="shared" si="12"/>
        <v>0</v>
      </c>
      <c r="I65" s="25">
        <f t="shared" si="15"/>
        <v>0</v>
      </c>
      <c r="J65" s="60"/>
      <c r="K65" s="28">
        <f t="shared" si="13"/>
        <v>2.8437499999999996</v>
      </c>
    </row>
    <row r="66" spans="1:11" ht="15.75" thickBot="1" x14ac:dyDescent="0.3">
      <c r="A66" s="58"/>
      <c r="B66" s="5" t="s">
        <v>81</v>
      </c>
      <c r="C66" s="18"/>
      <c r="D66" s="19"/>
      <c r="E66" s="18"/>
      <c r="F66" s="4"/>
      <c r="G66" s="14"/>
      <c r="H66" s="24">
        <f t="shared" si="12"/>
        <v>0</v>
      </c>
      <c r="I66" s="25">
        <f t="shared" si="15"/>
        <v>0</v>
      </c>
      <c r="J66" s="60"/>
      <c r="K66" s="28">
        <f t="shared" si="13"/>
        <v>2.8437499999999996</v>
      </c>
    </row>
    <row r="67" spans="1:11" ht="15.75" thickBot="1" x14ac:dyDescent="0.3">
      <c r="A67" s="58"/>
      <c r="B67" s="6" t="s">
        <v>82</v>
      </c>
      <c r="C67" s="18"/>
      <c r="D67" s="19"/>
      <c r="E67" s="18"/>
      <c r="F67" s="7"/>
      <c r="G67" s="15"/>
      <c r="H67" s="24">
        <f t="shared" si="12"/>
        <v>0</v>
      </c>
      <c r="I67" s="25">
        <f t="shared" si="15"/>
        <v>0</v>
      </c>
      <c r="J67" s="60"/>
      <c r="K67" s="28">
        <f t="shared" si="13"/>
        <v>2.8437499999999996</v>
      </c>
    </row>
    <row r="68" spans="1:11" ht="15.75" thickBot="1" x14ac:dyDescent="0.3">
      <c r="A68" s="59"/>
      <c r="B68" s="8" t="s">
        <v>83</v>
      </c>
      <c r="C68" s="20"/>
      <c r="D68" s="21"/>
      <c r="E68" s="20"/>
      <c r="F68" s="9"/>
      <c r="G68" s="16"/>
      <c r="H68" s="38">
        <f t="shared" si="12"/>
        <v>0</v>
      </c>
      <c r="I68" s="39">
        <f t="shared" si="15"/>
        <v>0</v>
      </c>
      <c r="J68" s="60"/>
      <c r="K68" s="28">
        <f t="shared" si="13"/>
        <v>2.8437499999999996</v>
      </c>
    </row>
    <row r="69" spans="1:11" ht="15.75" thickBot="1" x14ac:dyDescent="0.3">
      <c r="A69" s="61">
        <v>21</v>
      </c>
      <c r="B69" s="5" t="s">
        <v>84</v>
      </c>
      <c r="C69" s="18"/>
      <c r="D69" s="19"/>
      <c r="E69" s="18"/>
      <c r="F69" s="4"/>
      <c r="G69" s="14"/>
      <c r="H69" s="24">
        <f t="shared" si="12"/>
        <v>0</v>
      </c>
      <c r="I69" s="25">
        <f>H69</f>
        <v>0</v>
      </c>
      <c r="J69" s="60"/>
      <c r="K69" s="28">
        <f t="shared" si="13"/>
        <v>2.8437499999999996</v>
      </c>
    </row>
    <row r="70" spans="1:11" ht="15.75" thickBot="1" x14ac:dyDescent="0.3">
      <c r="A70" s="58"/>
      <c r="B70" s="5" t="s">
        <v>85</v>
      </c>
      <c r="C70" s="18"/>
      <c r="D70" s="19"/>
      <c r="E70" s="18"/>
      <c r="F70" s="4"/>
      <c r="G70" s="14"/>
      <c r="H70" s="24">
        <f t="shared" si="12"/>
        <v>0</v>
      </c>
      <c r="I70" s="25">
        <f t="shared" ref="I70:I75" si="16">I69+H70</f>
        <v>0</v>
      </c>
      <c r="J70" s="60"/>
      <c r="K70" s="28">
        <f t="shared" si="13"/>
        <v>2.8437499999999996</v>
      </c>
    </row>
    <row r="71" spans="1:11" ht="15.75" thickBot="1" x14ac:dyDescent="0.3">
      <c r="A71" s="58"/>
      <c r="B71" s="5" t="s">
        <v>86</v>
      </c>
      <c r="C71" s="18"/>
      <c r="D71" s="19"/>
      <c r="E71" s="18"/>
      <c r="F71" s="4"/>
      <c r="G71" s="14"/>
      <c r="H71" s="24">
        <f t="shared" si="12"/>
        <v>0</v>
      </c>
      <c r="I71" s="25">
        <f t="shared" si="16"/>
        <v>0</v>
      </c>
      <c r="J71" s="60"/>
      <c r="K71" s="28">
        <f t="shared" si="13"/>
        <v>2.8437499999999996</v>
      </c>
    </row>
    <row r="72" spans="1:11" ht="15.75" thickBot="1" x14ac:dyDescent="0.3">
      <c r="A72" s="58"/>
      <c r="B72" s="5" t="s">
        <v>87</v>
      </c>
      <c r="C72" s="18"/>
      <c r="D72" s="19"/>
      <c r="E72" s="18"/>
      <c r="F72" s="4"/>
      <c r="G72" s="14"/>
      <c r="H72" s="24">
        <f t="shared" si="12"/>
        <v>0</v>
      </c>
      <c r="I72" s="25">
        <f t="shared" si="16"/>
        <v>0</v>
      </c>
      <c r="J72" s="60"/>
      <c r="K72" s="28">
        <f t="shared" si="13"/>
        <v>2.8437499999999996</v>
      </c>
    </row>
    <row r="73" spans="1:11" ht="15.75" thickBot="1" x14ac:dyDescent="0.3">
      <c r="A73" s="58"/>
      <c r="B73" s="5" t="s">
        <v>88</v>
      </c>
      <c r="C73" s="18"/>
      <c r="D73" s="19"/>
      <c r="E73" s="18"/>
      <c r="F73" s="4"/>
      <c r="G73" s="14"/>
      <c r="H73" s="24">
        <f t="shared" si="12"/>
        <v>0</v>
      </c>
      <c r="I73" s="25">
        <f t="shared" si="16"/>
        <v>0</v>
      </c>
      <c r="J73" s="60"/>
      <c r="K73" s="28">
        <f t="shared" si="13"/>
        <v>2.8437499999999996</v>
      </c>
    </row>
    <row r="74" spans="1:11" ht="15.75" thickBot="1" x14ac:dyDescent="0.3">
      <c r="A74" s="58"/>
      <c r="B74" s="6" t="s">
        <v>89</v>
      </c>
      <c r="C74" s="18"/>
      <c r="D74" s="19"/>
      <c r="E74" s="18"/>
      <c r="F74" s="7"/>
      <c r="G74" s="15"/>
      <c r="H74" s="24">
        <f t="shared" si="12"/>
        <v>0</v>
      </c>
      <c r="I74" s="25">
        <f t="shared" si="16"/>
        <v>0</v>
      </c>
      <c r="J74" s="60"/>
      <c r="K74" s="28">
        <f t="shared" si="13"/>
        <v>2.8437499999999996</v>
      </c>
    </row>
    <row r="75" spans="1:11" ht="15.75" thickBot="1" x14ac:dyDescent="0.3">
      <c r="A75" s="59"/>
      <c r="B75" s="8" t="s">
        <v>90</v>
      </c>
      <c r="C75" s="20"/>
      <c r="D75" s="21"/>
      <c r="E75" s="20"/>
      <c r="F75" s="9"/>
      <c r="G75" s="16"/>
      <c r="H75" s="38">
        <f t="shared" si="12"/>
        <v>0</v>
      </c>
      <c r="I75" s="39">
        <f t="shared" si="16"/>
        <v>0</v>
      </c>
      <c r="J75" s="60"/>
      <c r="K75" s="28">
        <f t="shared" si="13"/>
        <v>2.8437499999999996</v>
      </c>
    </row>
    <row r="76" spans="1:11" ht="15.75" thickBot="1" x14ac:dyDescent="0.3">
      <c r="A76" s="61">
        <v>22</v>
      </c>
      <c r="B76" s="5" t="s">
        <v>91</v>
      </c>
      <c r="C76" s="18"/>
      <c r="D76" s="19"/>
      <c r="E76" s="18"/>
      <c r="F76" s="4"/>
      <c r="G76" s="14"/>
      <c r="H76" s="24">
        <f t="shared" si="12"/>
        <v>0</v>
      </c>
      <c r="I76" s="25">
        <f>H76</f>
        <v>0</v>
      </c>
      <c r="J76" s="60"/>
      <c r="K76" s="28">
        <f t="shared" si="13"/>
        <v>2.8437499999999996</v>
      </c>
    </row>
    <row r="77" spans="1:11" ht="15.75" thickBot="1" x14ac:dyDescent="0.3">
      <c r="A77" s="58"/>
      <c r="B77" s="5" t="s">
        <v>92</v>
      </c>
      <c r="C77" s="18"/>
      <c r="D77" s="19"/>
      <c r="E77" s="18"/>
      <c r="F77" s="4"/>
      <c r="G77" s="14"/>
      <c r="H77" s="24">
        <f t="shared" si="12"/>
        <v>0</v>
      </c>
      <c r="I77" s="25">
        <f t="shared" ref="I77:I82" si="17">I76+H77</f>
        <v>0</v>
      </c>
      <c r="J77" s="60"/>
      <c r="K77" s="28">
        <f t="shared" si="13"/>
        <v>2.8437499999999996</v>
      </c>
    </row>
    <row r="78" spans="1:11" ht="15.75" thickBot="1" x14ac:dyDescent="0.3">
      <c r="A78" s="58"/>
      <c r="B78" s="5" t="s">
        <v>93</v>
      </c>
      <c r="C78" s="18"/>
      <c r="D78" s="19"/>
      <c r="E78" s="18"/>
      <c r="F78" s="4"/>
      <c r="G78" s="14"/>
      <c r="H78" s="24">
        <f t="shared" si="12"/>
        <v>0</v>
      </c>
      <c r="I78" s="25">
        <f t="shared" si="17"/>
        <v>0</v>
      </c>
      <c r="J78" s="60"/>
      <c r="K78" s="28">
        <f t="shared" si="13"/>
        <v>2.8437499999999996</v>
      </c>
    </row>
    <row r="79" spans="1:11" ht="15.75" thickBot="1" x14ac:dyDescent="0.3">
      <c r="A79" s="58"/>
      <c r="B79" s="5" t="s">
        <v>94</v>
      </c>
      <c r="C79" s="18"/>
      <c r="D79" s="19"/>
      <c r="E79" s="18"/>
      <c r="F79" s="4"/>
      <c r="G79" s="14"/>
      <c r="H79" s="24">
        <f t="shared" si="12"/>
        <v>0</v>
      </c>
      <c r="I79" s="25">
        <f t="shared" si="17"/>
        <v>0</v>
      </c>
      <c r="J79" s="60"/>
      <c r="K79" s="28">
        <f t="shared" si="13"/>
        <v>2.8437499999999996</v>
      </c>
    </row>
    <row r="80" spans="1:11" ht="15.75" thickBot="1" x14ac:dyDescent="0.3">
      <c r="A80" s="58"/>
      <c r="B80" s="5" t="s">
        <v>95</v>
      </c>
      <c r="C80" s="18"/>
      <c r="D80" s="19"/>
      <c r="E80" s="18"/>
      <c r="F80" s="4"/>
      <c r="G80" s="14"/>
      <c r="H80" s="24">
        <f t="shared" si="12"/>
        <v>0</v>
      </c>
      <c r="I80" s="25">
        <f t="shared" si="17"/>
        <v>0</v>
      </c>
      <c r="J80" s="60"/>
      <c r="K80" s="28">
        <f t="shared" si="13"/>
        <v>2.8437499999999996</v>
      </c>
    </row>
    <row r="81" spans="1:11" ht="15.75" thickBot="1" x14ac:dyDescent="0.3">
      <c r="A81" s="58"/>
      <c r="B81" s="6" t="s">
        <v>96</v>
      </c>
      <c r="C81" s="18"/>
      <c r="D81" s="19"/>
      <c r="E81" s="18"/>
      <c r="F81" s="7"/>
      <c r="G81" s="15"/>
      <c r="H81" s="24">
        <f t="shared" si="12"/>
        <v>0</v>
      </c>
      <c r="I81" s="25">
        <f t="shared" si="17"/>
        <v>0</v>
      </c>
      <c r="J81" s="60"/>
      <c r="K81" s="28">
        <f t="shared" si="13"/>
        <v>2.8437499999999996</v>
      </c>
    </row>
    <row r="82" spans="1:11" ht="15.75" thickBot="1" x14ac:dyDescent="0.3">
      <c r="A82" s="59"/>
      <c r="B82" s="8" t="s">
        <v>97</v>
      </c>
      <c r="C82" s="20"/>
      <c r="D82" s="21"/>
      <c r="E82" s="20"/>
      <c r="F82" s="9"/>
      <c r="G82" s="16"/>
      <c r="H82" s="38">
        <f t="shared" si="12"/>
        <v>0</v>
      </c>
      <c r="I82" s="39">
        <f t="shared" si="17"/>
        <v>0</v>
      </c>
      <c r="J82" s="60"/>
      <c r="K82" s="28">
        <f t="shared" si="13"/>
        <v>2.8437499999999996</v>
      </c>
    </row>
    <row r="83" spans="1:11" ht="15.75" thickBot="1" x14ac:dyDescent="0.3">
      <c r="A83" s="61">
        <v>23</v>
      </c>
      <c r="B83" s="5" t="s">
        <v>98</v>
      </c>
      <c r="C83" s="18"/>
      <c r="D83" s="19"/>
      <c r="E83" s="18"/>
      <c r="F83" s="4"/>
      <c r="G83" s="14"/>
      <c r="H83" s="24">
        <f t="shared" si="12"/>
        <v>0</v>
      </c>
      <c r="I83" s="25">
        <f>H83</f>
        <v>0</v>
      </c>
      <c r="J83" s="60"/>
      <c r="K83" s="28">
        <f t="shared" si="13"/>
        <v>2.8437499999999996</v>
      </c>
    </row>
    <row r="84" spans="1:11" ht="15.75" thickBot="1" x14ac:dyDescent="0.3">
      <c r="A84" s="58"/>
      <c r="B84" s="5" t="s">
        <v>99</v>
      </c>
      <c r="C84" s="18"/>
      <c r="D84" s="19"/>
      <c r="E84" s="18"/>
      <c r="F84" s="4"/>
      <c r="G84" s="14"/>
      <c r="H84" s="24">
        <f t="shared" ref="H84:H89" si="18">IF(OR(C84="",D84=""),0,MAX(0,MOD(D84-C84,1)-IF(E84="",0,E84)))</f>
        <v>0</v>
      </c>
      <c r="I84" s="25">
        <f t="shared" ref="I84:I89" si="19">I83+H84</f>
        <v>0</v>
      </c>
      <c r="J84" s="60"/>
      <c r="K84" s="28">
        <f t="shared" ref="K84:K89" si="20">K83+H84</f>
        <v>2.8437499999999996</v>
      </c>
    </row>
    <row r="85" spans="1:11" ht="15.75" thickBot="1" x14ac:dyDescent="0.3">
      <c r="A85" s="58"/>
      <c r="B85" s="5" t="s">
        <v>100</v>
      </c>
      <c r="C85" s="18"/>
      <c r="D85" s="19"/>
      <c r="E85" s="18"/>
      <c r="F85" s="4"/>
      <c r="G85" s="14"/>
      <c r="H85" s="24">
        <f t="shared" si="18"/>
        <v>0</v>
      </c>
      <c r="I85" s="25">
        <f t="shared" si="19"/>
        <v>0</v>
      </c>
      <c r="J85" s="71"/>
      <c r="K85" s="28">
        <f t="shared" si="20"/>
        <v>2.8437499999999996</v>
      </c>
    </row>
    <row r="86" spans="1:11" ht="15.75" thickBot="1" x14ac:dyDescent="0.3">
      <c r="A86" s="58"/>
      <c r="B86" s="5" t="s">
        <v>101</v>
      </c>
      <c r="C86" s="18"/>
      <c r="D86" s="19"/>
      <c r="E86" s="18"/>
      <c r="F86" s="4"/>
      <c r="G86" s="14"/>
      <c r="H86" s="24">
        <f t="shared" si="18"/>
        <v>0</v>
      </c>
      <c r="I86" s="25">
        <f t="shared" si="19"/>
        <v>0</v>
      </c>
      <c r="J86" s="40"/>
      <c r="K86" s="28">
        <f t="shared" si="20"/>
        <v>2.8437499999999996</v>
      </c>
    </row>
    <row r="87" spans="1:11" ht="15.75" thickBot="1" x14ac:dyDescent="0.3">
      <c r="A87" s="58"/>
      <c r="B87" s="5" t="s">
        <v>102</v>
      </c>
      <c r="C87" s="18"/>
      <c r="D87" s="19"/>
      <c r="E87" s="18"/>
      <c r="F87" s="4"/>
      <c r="G87" s="14"/>
      <c r="H87" s="24">
        <f t="shared" si="18"/>
        <v>0</v>
      </c>
      <c r="I87" s="25">
        <f t="shared" si="19"/>
        <v>0</v>
      </c>
      <c r="J87" s="40"/>
      <c r="K87" s="28">
        <f t="shared" si="20"/>
        <v>2.8437499999999996</v>
      </c>
    </row>
    <row r="88" spans="1:11" ht="15.75" thickBot="1" x14ac:dyDescent="0.3">
      <c r="A88" s="58"/>
      <c r="B88" s="6" t="s">
        <v>103</v>
      </c>
      <c r="C88" s="18"/>
      <c r="D88" s="19"/>
      <c r="E88" s="18"/>
      <c r="F88" s="7"/>
      <c r="G88" s="15"/>
      <c r="H88" s="24">
        <f t="shared" si="18"/>
        <v>0</v>
      </c>
      <c r="I88" s="25">
        <f t="shared" si="19"/>
        <v>0</v>
      </c>
      <c r="J88" s="40"/>
      <c r="K88" s="28">
        <f t="shared" si="20"/>
        <v>2.8437499999999996</v>
      </c>
    </row>
    <row r="89" spans="1:11" ht="15.75" thickBot="1" x14ac:dyDescent="0.3">
      <c r="A89" s="59"/>
      <c r="B89" s="10" t="s">
        <v>104</v>
      </c>
      <c r="C89" s="18"/>
      <c r="D89" s="19"/>
      <c r="E89" s="18"/>
      <c r="F89" s="11"/>
      <c r="G89" s="37"/>
      <c r="H89" s="33">
        <f t="shared" si="18"/>
        <v>0</v>
      </c>
      <c r="I89" s="26">
        <f t="shared" si="19"/>
        <v>0</v>
      </c>
      <c r="J89" s="40"/>
      <c r="K89" s="29">
        <f t="shared" si="20"/>
        <v>2.8437499999999996</v>
      </c>
    </row>
  </sheetData>
  <mergeCells count="21">
    <mergeCell ref="A55:A61"/>
    <mergeCell ref="J55:J85"/>
    <mergeCell ref="A62:A68"/>
    <mergeCell ref="A69:A75"/>
    <mergeCell ref="A76:A82"/>
    <mergeCell ref="A83:A89"/>
    <mergeCell ref="A20:A26"/>
    <mergeCell ref="J20:J40"/>
    <mergeCell ref="A27:A33"/>
    <mergeCell ref="A34:A40"/>
    <mergeCell ref="A41:A47"/>
    <mergeCell ref="J41:J54"/>
    <mergeCell ref="A48:A54"/>
    <mergeCell ref="A6:A12"/>
    <mergeCell ref="J6:J19"/>
    <mergeCell ref="A13:A19"/>
    <mergeCell ref="B1:D1"/>
    <mergeCell ref="E1:H1"/>
    <mergeCell ref="B2:K2"/>
    <mergeCell ref="B3:K3"/>
    <mergeCell ref="B4:K4"/>
  </mergeCells>
  <pageMargins left="0.7" right="0.7" top="0.75" bottom="0.75" header="0.3" footer="0.3"/>
  <pageSetup paperSize="9" orientation="portrait"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alfred pereira</cp:lastModifiedBy>
  <dcterms:modified xsi:type="dcterms:W3CDTF">2026-04-18T16:58:33Z</dcterms:modified>
</cp:coreProperties>
</file>